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a\OneDrive\Área de Trabalho\vinicius\Projeto Excel\"/>
    </mc:Choice>
  </mc:AlternateContent>
  <xr:revisionPtr revIDLastSave="0" documentId="13_ncr:1_{3B264EE8-1FBC-493A-A80E-D82C96CACD98}" xr6:coauthVersionLast="47" xr6:coauthVersionMax="47" xr10:uidLastSave="{00000000-0000-0000-0000-000000000000}"/>
  <bookViews>
    <workbookView xWindow="-120" yWindow="-120" windowWidth="20730" windowHeight="11760" activeTab="2" xr2:uid="{11ABF0D3-986F-49D6-A6AD-6DD513D950F4}"/>
  </bookViews>
  <sheets>
    <sheet name="CONTAS A PAGAR" sheetId="1" r:id="rId1"/>
    <sheet name="VALORES A RECEBER" sheetId="2" r:id="rId2"/>
    <sheet name="ANÁLISES" sheetId="3" r:id="rId3"/>
  </sheets>
  <calcPr calcId="191029"/>
  <pivotCaches>
    <pivotCache cacheId="2409" r:id="rId4"/>
    <pivotCache cacheId="24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B22" i="3"/>
  <c r="B21" i="3"/>
  <c r="B20" i="3"/>
  <c r="D27" i="3"/>
  <c r="D24" i="3"/>
  <c r="D20" i="3"/>
  <c r="D21" i="3"/>
  <c r="D22" i="3"/>
  <c r="D25" i="3"/>
  <c r="D26" i="3" s="1"/>
  <c r="D28" i="3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4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 Vieira</author>
  </authors>
  <commentList>
    <comment ref="C28" authorId="0" shapeId="0" xr:uid="{3698EEBC-4375-4447-9755-338956F787EC}">
      <text>
        <r>
          <rPr>
            <b/>
            <sz val="9"/>
            <color indexed="81"/>
            <rFont val="Segoe UI"/>
            <family val="2"/>
          </rPr>
          <t>Vinícius Izidoro:
Valores podem alterar até o fechamento do mês</t>
        </r>
      </text>
    </comment>
  </commentList>
</comments>
</file>

<file path=xl/sharedStrings.xml><?xml version="1.0" encoding="utf-8"?>
<sst xmlns="http://schemas.openxmlformats.org/spreadsheetml/2006/main" count="305" uniqueCount="157">
  <si>
    <t xml:space="preserve">Contas a Pagar </t>
  </si>
  <si>
    <t>Análises</t>
  </si>
  <si>
    <t xml:space="preserve">DATA DE VENCIMENTO </t>
  </si>
  <si>
    <t>FORNECEDOR</t>
  </si>
  <si>
    <t>DESCRIÇÃO</t>
  </si>
  <si>
    <t>VALOR A PAGAR</t>
  </si>
  <si>
    <t>STATUS</t>
  </si>
  <si>
    <t>PENDENTE</t>
  </si>
  <si>
    <t>PAGO</t>
  </si>
  <si>
    <t>ATRASADO</t>
  </si>
  <si>
    <t>DATA DE PAGAMENTO EFETIVO</t>
  </si>
  <si>
    <t>TIPO DE PAGAMENTO</t>
  </si>
  <si>
    <t>CENTRO DE CUSTO</t>
  </si>
  <si>
    <t>TRANSFERENCIA</t>
  </si>
  <si>
    <t>ADMINISTRATIVO</t>
  </si>
  <si>
    <t>PIX</t>
  </si>
  <si>
    <t>PESSOAL</t>
  </si>
  <si>
    <t>CRÉDITO</t>
  </si>
  <si>
    <t>BOLETO</t>
  </si>
  <si>
    <t>DÉBITO</t>
  </si>
  <si>
    <t>BANCO INTER MAGE</t>
  </si>
  <si>
    <t>FATURA DO CARTÃO DE CRÉDITO PESSOAL</t>
  </si>
  <si>
    <t>QUINTO ANDAR IMÓVEIS</t>
  </si>
  <si>
    <t>ALUGUEL DO APARTAMENTO RESIDENCIAL</t>
  </si>
  <si>
    <t>SABESP COMPANHIA</t>
  </si>
  <si>
    <t>ÁGUA E ESGOTO DO APARTAMENTO</t>
  </si>
  <si>
    <t>CONDOMÍNIO VIVENDAS</t>
  </si>
  <si>
    <t>CONDOMÍNIO DO EDIFÍCIO RESIDENCIAL</t>
  </si>
  <si>
    <t>POSTO SHELL ALIANÇA</t>
  </si>
  <si>
    <t>GASOLINA PARA O CARRO DO DIA A DIA</t>
  </si>
  <si>
    <t>SUPERMERCADO DIA</t>
  </si>
  <si>
    <t>COMPRAS DO MÊS PARA A DISPENSA</t>
  </si>
  <si>
    <t>GOOGLE ADS BRASIL</t>
  </si>
  <si>
    <t>ANÚNCIOS DE CAPTAÇÃO PARA MEU CURSO</t>
  </si>
  <si>
    <t>CLARO FIBRA</t>
  </si>
  <si>
    <t>INTERNET RESIDENCIAL PARA TRABALHAR</t>
  </si>
  <si>
    <t>ICATU SEGUROS</t>
  </si>
  <si>
    <t>APORTE EM PREVIDÊNCIA PRIVADA INDIVIDUAL</t>
  </si>
  <si>
    <t>ENEL DISTRIBUIÇÃO</t>
  </si>
  <si>
    <t>CONTA DE LUZ DO APARTAMENTO</t>
  </si>
  <si>
    <t>AMIL ASSISTÊNCIA MÉDICA</t>
  </si>
  <si>
    <t>PLANO DE SAÚDE INDIVIDUAL COPARTICIPATIVO</t>
  </si>
  <si>
    <t>META ADVERTISING</t>
  </si>
  <si>
    <t>ANÚNCIOS DE CONVERSÃO NO INSTAGRAM</t>
  </si>
  <si>
    <t>AUTO CENTER BRASIL</t>
  </si>
  <si>
    <t>TROCA DE ÓLEO E FILTROS DO CARRO</t>
  </si>
  <si>
    <t>PAPELARIA IPANEMA</t>
  </si>
  <si>
    <t>PADARIA DO BAIRRO</t>
  </si>
  <si>
    <t>ESTACIONAMENTO ESTAPAR</t>
  </si>
  <si>
    <t>AVULSO PERTO DO CENTRO DE ESTUDOS</t>
  </si>
  <si>
    <t>CONSELHO DE ADMINISTRAÇÃO</t>
  </si>
  <si>
    <t>ANUIDADE DO REGISTRO PROFISSIONAL CRA</t>
  </si>
  <si>
    <t>ADOBE SYSTEMS INC</t>
  </si>
  <si>
    <t>ASSINATURA DO PREMIERE PARA EDIÇÃO</t>
  </si>
  <si>
    <t>CARNE PARA CHURRASCO COM AMIGOS EM CASA</t>
  </si>
  <si>
    <t>DROGASIL SAÚDE</t>
  </si>
  <si>
    <t>DETRAN TAXAS PÚBLICAS</t>
  </si>
  <si>
    <t>TAXA DE EMISSÃO DO LICENCIAMENTO ANUAL</t>
  </si>
  <si>
    <t>CONTABILIDADE ONLINE MEI</t>
  </si>
  <si>
    <t>MENSALIDADE DA PLATAFORMA DE GESTÃO MEI</t>
  </si>
  <si>
    <t>HOSTGATOR HOSPEDAGEM</t>
  </si>
  <si>
    <t>DOMÍNIO E HOSPEDAGEM DA LANDING PAGE</t>
  </si>
  <si>
    <t>REFRIGERAÇÃO SILVA</t>
  </si>
  <si>
    <t>LIMPEZA DO AR CONDICIONADO DO QUARTO</t>
  </si>
  <si>
    <t>AZOS SEGUROS</t>
  </si>
  <si>
    <t>APÓLICE ANUAL DO SEGURO AUTO COMPACTO</t>
  </si>
  <si>
    <t>CAFÉ DA MANHÃ</t>
  </si>
  <si>
    <t>REMÉDIO E SIMILARES</t>
  </si>
  <si>
    <t>ACESSÓRIOS PARA ESTUDO E TRABALHO</t>
  </si>
  <si>
    <t>ALMOÇO NA RUA</t>
  </si>
  <si>
    <t>RESTAURANTE BOM GOSTO</t>
  </si>
  <si>
    <t>VIAGEM E LAZER</t>
  </si>
  <si>
    <t>BOUTIQUE DAS CARNES</t>
  </si>
  <si>
    <t>AGENCIA DE VIAGENS</t>
  </si>
  <si>
    <t>DINHEIRO</t>
  </si>
  <si>
    <t>MORADIA</t>
  </si>
  <si>
    <t>TRANSPORTE</t>
  </si>
  <si>
    <t>ALIMENTAÇÃO</t>
  </si>
  <si>
    <t>MARKETING</t>
  </si>
  <si>
    <t>HOTMART PLATAFORMA</t>
  </si>
  <si>
    <t>SAQUE VENDAS CURSO ONLINE MAIO</t>
  </si>
  <si>
    <t>EDUZZ TECNOLOGIA</t>
  </si>
  <si>
    <t>COMISSÃO DE AFILIADO LANÇAMENTO</t>
  </si>
  <si>
    <t>INTERNET WORK LTDA</t>
  </si>
  <si>
    <t>MENSALIDADE GESTÃO DE TRÁFEGO PAGO</t>
  </si>
  <si>
    <t>CLÍNICA SORRISO</t>
  </si>
  <si>
    <t>CONSULTORIA DE MARKETING MENSAL</t>
  </si>
  <si>
    <t>VENDA DE EBOOK ATRAÇÃO DIGITAL</t>
  </si>
  <si>
    <t>GOOGLE ADSENSE</t>
  </si>
  <si>
    <t>MONETIZAÇÃO DO CANAL DO YOUTUBE</t>
  </si>
  <si>
    <t>MONETIZZE MIDIA</t>
  </si>
  <si>
    <t>SAQUE INFOPRODUTO RECORRENTE</t>
  </si>
  <si>
    <t>REST. SABOR LOCAL</t>
  </si>
  <si>
    <t>PROJETO SOCIAL MEDIA INSTAGRAM</t>
  </si>
  <si>
    <t>LOJA MODA FASHION</t>
  </si>
  <si>
    <t>CRIAÇÃO DE LANDING PAGE E SITE</t>
  </si>
  <si>
    <t>SAQUE ANTECIPADO BLACK FRIDAY</t>
  </si>
  <si>
    <t>STRIFE INC GLOBAL</t>
  </si>
  <si>
    <t>PRESTAÇÃO SERVIÇO DESIGN EXTERIOR</t>
  </si>
  <si>
    <t>CLIENTE JOÃO SILVA</t>
  </si>
  <si>
    <t>MENTORIA INDIVIDUAL STRATEGY</t>
  </si>
  <si>
    <t>VENDA DE CURSO EXPRESSO NO PIX</t>
  </si>
  <si>
    <t>AUTO ESCOLA LIDER</t>
  </si>
  <si>
    <t>MENSALIDADE MARKETING DE CONTEÚDO</t>
  </si>
  <si>
    <t>REMANESCENTE DE COMISSÕES DO MÊS</t>
  </si>
  <si>
    <t>WORKANA PLATAFORMA</t>
  </si>
  <si>
    <t>FREELANCE EDIÇÃO DE VÍDEO COMPLETA</t>
  </si>
  <si>
    <t>CLIENTE MARIA REIS</t>
  </si>
  <si>
    <t>SESSÃO AVULSA DE DIRECIONAMENTO</t>
  </si>
  <si>
    <t>MONETIZAÇÃO DE BLOG E PORTAL DE CONTEÚDO</t>
  </si>
  <si>
    <t>ICATU RESGATE</t>
  </si>
  <si>
    <t>RENDIMENTO DE PREVIDENCIA ANTECIPADO</t>
  </si>
  <si>
    <t>KIWIFY PLATAFORMA</t>
  </si>
  <si>
    <t>PRIMEIRO SAQUE MENTORIA EM GRUPO</t>
  </si>
  <si>
    <t>RECORRÊNCIA DA COMUNIDADE DE ALUNOS</t>
  </si>
  <si>
    <t>CLIENTE PEDRO LIMA</t>
  </si>
  <si>
    <t>CONSULTORIA DE TRÁFEGO AVULSA</t>
  </si>
  <si>
    <t>MENSALIDADE GESTÃO DE TRÁFEGO JUNHO</t>
  </si>
  <si>
    <t>CONSULTORIA DE MARKETING JUNHO</t>
  </si>
  <si>
    <t>PROJETO SOCIAL MEDIA JUNHO</t>
  </si>
  <si>
    <t>PREVISÃO DE SAQUE FLUXO JUNHO</t>
  </si>
  <si>
    <t>PREVISÃO DE SAQUE COMUNIDADE JUNHO</t>
  </si>
  <si>
    <t xml:space="preserve">CLIENTE </t>
  </si>
  <si>
    <t>VALOR A RECEBER</t>
  </si>
  <si>
    <t>DATA DE EMISSÃO</t>
  </si>
  <si>
    <t xml:space="preserve">DATA DE PAGAMENTO </t>
  </si>
  <si>
    <t>Total Geral</t>
  </si>
  <si>
    <t>mai</t>
  </si>
  <si>
    <t>jun</t>
  </si>
  <si>
    <t>Soma de VALOR A PAGAR</t>
  </si>
  <si>
    <t>Soma de VALOR A RECEBER</t>
  </si>
  <si>
    <t>Total de faturamento</t>
  </si>
  <si>
    <t>Total de despesas</t>
  </si>
  <si>
    <t>Valores</t>
  </si>
  <si>
    <t>Valor livre no fim do mês</t>
  </si>
  <si>
    <t>Ainda para receber</t>
  </si>
  <si>
    <t>Total previsto fim do mês</t>
  </si>
  <si>
    <t>Resultado</t>
  </si>
  <si>
    <t>Matriz de KPIs</t>
  </si>
  <si>
    <t>Nome do Indicador</t>
  </si>
  <si>
    <t>Valor</t>
  </si>
  <si>
    <t>Maior Recebimento Único</t>
  </si>
  <si>
    <t>Ticket Médio por Venda</t>
  </si>
  <si>
    <t>Custo Médio por Conta</t>
  </si>
  <si>
    <t>ROI de Anúncios (Maio)</t>
  </si>
  <si>
    <t>Mês de maio (Fechado)</t>
  </si>
  <si>
    <t>Mês de junho (Aberto)</t>
  </si>
  <si>
    <t xml:space="preserve">Classificação </t>
  </si>
  <si>
    <t>Gastos por classificação</t>
  </si>
  <si>
    <t>Classificação</t>
  </si>
  <si>
    <t>Receber por classificação</t>
  </si>
  <si>
    <t>Meses</t>
  </si>
  <si>
    <t>ROI de Anúncios (Junho)</t>
  </si>
  <si>
    <t>O mês não fechou</t>
  </si>
  <si>
    <t>Total de faturamento (até o momento)</t>
  </si>
  <si>
    <t>Total de despesas (Até o momento)</t>
  </si>
  <si>
    <t>Valores a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</si>
</sst>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11"/>
      <color theme="1"/>
      <name val="Segoe UI"/>
      <family val="2"/>
    </font>
    <font>
      <b/>
      <sz val="36"/>
      <color theme="0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"/>
      <family val="2"/>
    </font>
    <font>
      <b/>
      <sz val="48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44" fontId="4" fillId="0" borderId="0" xfId="1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7" fillId="0" borderId="0" xfId="0" pivotButton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0" fontId="8" fillId="0" borderId="0" xfId="0" pivotButton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44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right" vertical="center"/>
    </xf>
    <xf numFmtId="44" fontId="9" fillId="4" borderId="0" xfId="1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44" fontId="6" fillId="5" borderId="0" xfId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28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b/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2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sz val="11.5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.5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2.5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VALORES A RECEBER'!A1"/><Relationship Id="rId2" Type="http://schemas.openxmlformats.org/officeDocument/2006/relationships/hyperlink" Target="#AN&#193;LISES!A1"/><Relationship Id="rId1" Type="http://schemas.openxmlformats.org/officeDocument/2006/relationships/hyperlink" Target="#'CONTAS A PAGAR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AN&#193;LISES!A1"/><Relationship Id="rId1" Type="http://schemas.openxmlformats.org/officeDocument/2006/relationships/hyperlink" Target="#'CONTAS A PAGAR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VALORES A RECEBER'!A1"/><Relationship Id="rId2" Type="http://schemas.openxmlformats.org/officeDocument/2006/relationships/hyperlink" Target="#AN&#193;LISES!A1"/><Relationship Id="rId1" Type="http://schemas.openxmlformats.org/officeDocument/2006/relationships/hyperlink" Target="#'CONTAS A PAGA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1813354</xdr:colOff>
      <xdr:row>0</xdr:row>
      <xdr:rowOff>85725</xdr:rowOff>
    </xdr:from>
    <xdr:to>
      <xdr:col>2</xdr:col>
      <xdr:colOff>1273186</xdr:colOff>
      <xdr:row>0</xdr:row>
      <xdr:rowOff>533400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7549D2-45AA-2FC5-D3F7-3B30ADE53A9A}"/>
            </a:ext>
          </a:extLst>
        </xdr:cNvPr>
        <xdr:cNvSpPr/>
      </xdr:nvSpPr>
      <xdr:spPr>
        <a:xfrm>
          <a:off x="3705225" y="85725"/>
          <a:ext cx="1743075" cy="44767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bg1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tx2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Contas</a:t>
          </a:r>
          <a:r>
            <a:rPr lang="pt-BR" sz="1400" b="1" baseline="0">
              <a:solidFill>
                <a:schemeClr val="tx2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a Pagar </a:t>
          </a:r>
          <a:endParaRPr lang="pt-BR" sz="1400" b="1">
            <a:solidFill>
              <a:schemeClr val="tx2">
                <a:lumMod val="75000"/>
                <a:lumOff val="25000"/>
              </a:schemeClr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27971</xdr:colOff>
      <xdr:row>0</xdr:row>
      <xdr:rowOff>76200</xdr:rowOff>
    </xdr:from>
    <xdr:to>
      <xdr:col>4</xdr:col>
      <xdr:colOff>102709</xdr:colOff>
      <xdr:row>0</xdr:row>
      <xdr:rowOff>523875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253B7F-6DD6-4DF7-B3C0-7A5D8E848FAE}"/>
            </a:ext>
          </a:extLst>
        </xdr:cNvPr>
        <xdr:cNvSpPr/>
      </xdr:nvSpPr>
      <xdr:spPr>
        <a:xfrm>
          <a:off x="7696200" y="76200"/>
          <a:ext cx="1743075" cy="447675"/>
        </a:xfrm>
        <a:prstGeom prst="roundRect">
          <a:avLst>
            <a:gd name="adj" fmla="val 50000"/>
          </a:avLst>
        </a:prstGeom>
        <a:solidFill>
          <a:schemeClr val="tx2">
            <a:lumMod val="90000"/>
            <a:lumOff val="10000"/>
          </a:schemeClr>
        </a:solidFill>
        <a:ln>
          <a:solidFill>
            <a:schemeClr val="bg1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Análises</a:t>
          </a:r>
          <a:r>
            <a:rPr lang="pt-BR" sz="1400" b="1" baseline="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</a:t>
          </a:r>
          <a:endParaRPr lang="pt-BR" sz="1400" b="1">
            <a:solidFill>
              <a:schemeClr val="lt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1539886</xdr:colOff>
      <xdr:row>0</xdr:row>
      <xdr:rowOff>76200</xdr:rowOff>
    </xdr:from>
    <xdr:to>
      <xdr:col>2</xdr:col>
      <xdr:colOff>3273274</xdr:colOff>
      <xdr:row>0</xdr:row>
      <xdr:rowOff>523875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04BE08-857F-48BF-B89A-F3A004F64ACB}"/>
            </a:ext>
          </a:extLst>
        </xdr:cNvPr>
        <xdr:cNvSpPr/>
      </xdr:nvSpPr>
      <xdr:spPr>
        <a:xfrm>
          <a:off x="5715000" y="76200"/>
          <a:ext cx="1743075" cy="447675"/>
        </a:xfrm>
        <a:prstGeom prst="roundRect">
          <a:avLst>
            <a:gd name="adj" fmla="val 50000"/>
          </a:avLst>
        </a:prstGeom>
        <a:solidFill>
          <a:schemeClr val="tx2">
            <a:lumMod val="90000"/>
            <a:lumOff val="10000"/>
          </a:schemeClr>
        </a:solidFill>
        <a:ln>
          <a:solidFill>
            <a:schemeClr val="bg1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Contas</a:t>
          </a:r>
          <a:r>
            <a:rPr lang="pt-BR" sz="1100" b="1" baseline="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a Receber </a:t>
          </a:r>
          <a:endParaRPr lang="pt-BR" sz="1100" b="1">
            <a:solidFill>
              <a:schemeClr val="lt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731523</xdr:colOff>
      <xdr:row>0</xdr:row>
      <xdr:rowOff>85725</xdr:rowOff>
    </xdr:from>
    <xdr:to>
      <xdr:col>2</xdr:col>
      <xdr:colOff>2480802</xdr:colOff>
      <xdr:row>0</xdr:row>
      <xdr:rowOff>533400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7CE688-A8B5-46B7-A967-539A9C5C1664}"/>
            </a:ext>
          </a:extLst>
        </xdr:cNvPr>
        <xdr:cNvSpPr/>
      </xdr:nvSpPr>
      <xdr:spPr>
        <a:xfrm>
          <a:off x="4242166" y="85725"/>
          <a:ext cx="1749279" cy="447675"/>
        </a:xfrm>
        <a:prstGeom prst="roundRect">
          <a:avLst>
            <a:gd name="adj" fmla="val 50000"/>
          </a:avLst>
        </a:prstGeom>
        <a:solidFill>
          <a:schemeClr val="accent3">
            <a:lumMod val="50000"/>
          </a:schemeClr>
        </a:solidFill>
        <a:ln>
          <a:solidFill>
            <a:schemeClr val="bg1"/>
          </a:solidFill>
        </a:ln>
        <a:effectLst>
          <a:glow rad="63500">
            <a:schemeClr val="accent3">
              <a:lumMod val="60000"/>
              <a:lumOff val="4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Contas</a:t>
          </a:r>
          <a:r>
            <a:rPr lang="pt-BR" sz="1600" b="1" baseline="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a Pagar </a:t>
          </a:r>
          <a:endParaRPr lang="pt-BR" sz="1600" b="1">
            <a:solidFill>
              <a:schemeClr val="lt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1234230</xdr:colOff>
      <xdr:row>0</xdr:row>
      <xdr:rowOff>76200</xdr:rowOff>
    </xdr:from>
    <xdr:to>
      <xdr:col>4</xdr:col>
      <xdr:colOff>941612</xdr:colOff>
      <xdr:row>0</xdr:row>
      <xdr:rowOff>523875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47860B-07B8-45A4-B83D-5EEA067689DA}"/>
            </a:ext>
          </a:extLst>
        </xdr:cNvPr>
        <xdr:cNvSpPr/>
      </xdr:nvSpPr>
      <xdr:spPr>
        <a:xfrm>
          <a:off x="8228301" y="76200"/>
          <a:ext cx="1748454" cy="447675"/>
        </a:xfrm>
        <a:prstGeom prst="roundRect">
          <a:avLst>
            <a:gd name="adj" fmla="val 50000"/>
          </a:avLst>
        </a:prstGeom>
        <a:solidFill>
          <a:schemeClr val="accent3">
            <a:lumMod val="50000"/>
          </a:schemeClr>
        </a:solidFill>
        <a:ln>
          <a:solidFill>
            <a:schemeClr val="bg1"/>
          </a:solidFill>
        </a:ln>
        <a:effectLst>
          <a:glow rad="63500">
            <a:schemeClr val="accent3">
              <a:lumMod val="60000"/>
              <a:lumOff val="4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Análises</a:t>
          </a:r>
          <a:r>
            <a:rPr lang="pt-BR" sz="1600" b="1" baseline="0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</a:t>
          </a:r>
          <a:endParaRPr lang="pt-BR" sz="1600" b="1">
            <a:solidFill>
              <a:schemeClr val="lt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2747502</xdr:colOff>
      <xdr:row>0</xdr:row>
      <xdr:rowOff>76200</xdr:rowOff>
    </xdr:from>
    <xdr:to>
      <xdr:col>3</xdr:col>
      <xdr:colOff>996105</xdr:colOff>
      <xdr:row>0</xdr:row>
      <xdr:rowOff>523875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E13FFC97-1E12-492F-90EA-4EC85C98397C}"/>
            </a:ext>
          </a:extLst>
        </xdr:cNvPr>
        <xdr:cNvSpPr/>
      </xdr:nvSpPr>
      <xdr:spPr>
        <a:xfrm>
          <a:off x="6258145" y="76200"/>
          <a:ext cx="1732031" cy="44767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bg1"/>
          </a:solidFill>
        </a:ln>
        <a:effectLst>
          <a:glow rad="63500">
            <a:schemeClr val="accent3">
              <a:lumMod val="60000"/>
              <a:lumOff val="40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200" b="1" baseline="0">
              <a:solidFill>
                <a:schemeClr val="accent3">
                  <a:lumMod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Valores a Receber </a:t>
          </a:r>
          <a:endParaRPr lang="pt-BR" sz="1200" b="1">
            <a:solidFill>
              <a:schemeClr val="accent3">
                <a:lumMod val="50000"/>
              </a:schemeClr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93061</xdr:colOff>
      <xdr:row>0</xdr:row>
      <xdr:rowOff>96931</xdr:rowOff>
    </xdr:from>
    <xdr:to>
      <xdr:col>2</xdr:col>
      <xdr:colOff>284629</xdr:colOff>
      <xdr:row>0</xdr:row>
      <xdr:rowOff>544606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EB5247-13A1-45BA-A617-1435F396DE40}"/>
            </a:ext>
          </a:extLst>
        </xdr:cNvPr>
        <xdr:cNvSpPr/>
      </xdr:nvSpPr>
      <xdr:spPr>
        <a:xfrm>
          <a:off x="2746454" y="96931"/>
          <a:ext cx="1729175" cy="447675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ln>
          <a:solidFill>
            <a:schemeClr val="bg1"/>
          </a:solidFill>
        </a:ln>
        <a:effectLst>
          <a:glow rad="63500">
            <a:schemeClr val="bg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Contas</a:t>
          </a:r>
          <a:r>
            <a:rPr lang="pt-BR" sz="1400" b="1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a Pagar </a:t>
          </a:r>
          <a:endParaRPr lang="pt-BR" sz="1400" b="1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2530608</xdr:colOff>
      <xdr:row>0</xdr:row>
      <xdr:rowOff>87406</xdr:rowOff>
    </xdr:from>
    <xdr:to>
      <xdr:col>3</xdr:col>
      <xdr:colOff>1272268</xdr:colOff>
      <xdr:row>0</xdr:row>
      <xdr:rowOff>535081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785F63-6624-4971-8D32-3086057FB5A7}"/>
            </a:ext>
          </a:extLst>
        </xdr:cNvPr>
        <xdr:cNvSpPr/>
      </xdr:nvSpPr>
      <xdr:spPr>
        <a:xfrm>
          <a:off x="6721608" y="87406"/>
          <a:ext cx="1721624" cy="447675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ln>
          <a:solidFill>
            <a:schemeClr val="bg1"/>
          </a:solidFill>
        </a:ln>
        <a:effectLst>
          <a:glow rad="63500">
            <a:schemeClr val="bg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Análises</a:t>
          </a:r>
          <a:r>
            <a:rPr lang="pt-BR" sz="1600" b="1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</a:t>
          </a:r>
          <a:endParaRPr lang="pt-BR" sz="1600" b="1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546847</xdr:colOff>
      <xdr:row>0</xdr:row>
      <xdr:rowOff>87406</xdr:rowOff>
    </xdr:from>
    <xdr:to>
      <xdr:col>2</xdr:col>
      <xdr:colOff>2292483</xdr:colOff>
      <xdr:row>0</xdr:row>
      <xdr:rowOff>535081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D5634A-7F21-4D3F-8751-366D44368A8A}"/>
            </a:ext>
          </a:extLst>
        </xdr:cNvPr>
        <xdr:cNvSpPr/>
      </xdr:nvSpPr>
      <xdr:spPr>
        <a:xfrm>
          <a:off x="4737847" y="87406"/>
          <a:ext cx="1745636" cy="447675"/>
        </a:xfrm>
        <a:prstGeom prst="roundRect">
          <a:avLst>
            <a:gd name="adj" fmla="val 50000"/>
          </a:avLst>
        </a:prstGeom>
        <a:solidFill>
          <a:schemeClr val="tx1">
            <a:lumMod val="85000"/>
            <a:lumOff val="15000"/>
          </a:schemeClr>
        </a:solidFill>
        <a:ln>
          <a:solidFill>
            <a:schemeClr val="bg1"/>
          </a:solidFill>
        </a:ln>
        <a:effectLst>
          <a:glow rad="63500">
            <a:schemeClr val="bg1"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Valores a </a:t>
          </a:r>
          <a:r>
            <a:rPr lang="pt-BR" sz="1200" b="1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Receber</a:t>
          </a:r>
          <a:r>
            <a:rPr lang="pt-BR" sz="1400" b="1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</a:t>
          </a:r>
          <a:endParaRPr lang="pt-BR" sz="1400" b="1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Vieira" refreshedDate="46190.63883217593" createdVersion="8" refreshedVersion="8" minRefreshableVersion="3" recordCount="27" xr:uid="{3F648EB4-73E1-4D6E-A84D-AEBE59179152}">
  <cacheSource type="worksheet">
    <worksheetSource name="Tabela16"/>
  </cacheSource>
  <cacheFields count="10">
    <cacheField name="DATA DE EMISSÃO" numFmtId="14">
      <sharedItems containsSemiMixedTypes="0" containsNonDate="0" containsDate="1" containsString="0" minDate="2026-05-05T00:00:00" maxDate="2026-07-01T00:00:00" count="22">
        <d v="2026-05-05T00:00:00"/>
        <d v="2026-05-08T00:00:00"/>
        <d v="2026-05-10T00:00:00"/>
        <d v="2026-05-12T00:00:00"/>
        <d v="2026-05-15T00:00:00"/>
        <d v="2026-05-18T00:00:00"/>
        <d v="2026-05-20T00:00:00"/>
        <d v="2026-05-22T00:00:00"/>
        <d v="2026-05-25T00:00:00"/>
        <d v="2026-05-26T00:00:00"/>
        <d v="2026-05-28T00:00:00"/>
        <d v="2026-05-29T00:00:00"/>
        <d v="2026-05-30T00:00:00"/>
        <d v="2026-05-31T00:00:00"/>
        <d v="2026-06-01T00:00:00"/>
        <d v="2026-06-02T00:00:00"/>
        <d v="2026-06-04T00:00:00"/>
        <d v="2026-06-15T00:00:00"/>
        <d v="2026-06-20T00:00:00"/>
        <d v="2026-06-25T00:00:00"/>
        <d v="2026-06-28T00:00:00"/>
        <d v="2026-06-30T00:00:00"/>
      </sharedItems>
      <fieldGroup par="9"/>
    </cacheField>
    <cacheField name="CLIENTE " numFmtId="0">
      <sharedItems/>
    </cacheField>
    <cacheField name="DESCRIÇÃO" numFmtId="0">
      <sharedItems/>
    </cacheField>
    <cacheField name="VALOR A RECEBER" numFmtId="44">
      <sharedItems containsSemiMixedTypes="0" containsString="0" containsNumber="1" containsInteger="1" minValue="280" maxValue="7500"/>
    </cacheField>
    <cacheField name="STATUS" numFmtId="0">
      <sharedItems count="2">
        <s v="PAGO"/>
        <s v="PENDENTE"/>
      </sharedItems>
    </cacheField>
    <cacheField name="DATA DE PAGAMENTO " numFmtId="14">
      <sharedItems containsNonDate="0" containsDate="1" containsString="0" containsBlank="1" minDate="2026-05-05T00:00:00" maxDate="2026-06-05T00:00:00"/>
    </cacheField>
    <cacheField name="TIPO DE PAGAMENTO" numFmtId="0">
      <sharedItems containsBlank="1"/>
    </cacheField>
    <cacheField name="CENTRO DE CUSTO" numFmtId="0">
      <sharedItems count="3">
        <s v="MARKETING"/>
        <s v="ADMINISTRATIVO"/>
        <s v="PESSOAL"/>
      </sharedItems>
    </cacheField>
    <cacheField name="Dias (DATA DE EMISSÃO)" numFmtId="0" databaseField="0">
      <fieldGroup base="0">
        <rangePr groupBy="days" startDate="2026-05-05T00:00:00" endDate="2026-07-01T00:00:00"/>
        <groupItems count="368">
          <s v="&lt;05/05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7/2026"/>
        </groupItems>
      </fieldGroup>
    </cacheField>
    <cacheField name="Meses (DATA DE EMISSÃO)" numFmtId="0" databaseField="0">
      <fieldGroup base="0">
        <rangePr groupBy="months" startDate="2026-05-05T00:00:00" endDate="2026-07-01T00:00:00"/>
        <groupItems count="14">
          <s v="&lt;05/05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Vieira" refreshedDate="46190.63883275463" createdVersion="8" refreshedVersion="8" minRefreshableVersion="3" recordCount="27" xr:uid="{6756746A-464D-446E-AA03-4F03EC96D6B4}">
  <cacheSource type="worksheet">
    <worksheetSource name="Tabela1"/>
  </cacheSource>
  <cacheFields count="10">
    <cacheField name="DATA DE VENCIMENTO " numFmtId="14">
      <sharedItems containsSemiMixedTypes="0" containsNonDate="0" containsDate="1" containsString="0" minDate="2026-05-05T00:00:00" maxDate="2026-07-01T00:00:00" count="22">
        <d v="2026-05-05T00:00:00"/>
        <d v="2026-05-08T00:00:00"/>
        <d v="2026-05-10T00:00:00"/>
        <d v="2026-05-12T00:00:00"/>
        <d v="2026-05-15T00:00:00"/>
        <d v="2026-05-18T00:00:00"/>
        <d v="2026-05-20T00:00:00"/>
        <d v="2026-05-22T00:00:00"/>
        <d v="2026-05-25T00:00:00"/>
        <d v="2026-05-26T00:00:00"/>
        <d v="2026-05-28T00:00:00"/>
        <d v="2026-05-29T00:00:00"/>
        <d v="2026-05-30T00:00:00"/>
        <d v="2026-05-31T00:00:00"/>
        <d v="2026-06-01T00:00:00"/>
        <d v="2026-06-02T00:00:00"/>
        <d v="2026-06-04T00:00:00"/>
        <d v="2026-06-15T00:00:00"/>
        <d v="2026-06-20T00:00:00"/>
        <d v="2026-06-25T00:00:00"/>
        <d v="2026-06-28T00:00:00"/>
        <d v="2026-06-30T00:00:00"/>
      </sharedItems>
      <fieldGroup par="9"/>
    </cacheField>
    <cacheField name="FORNECEDOR" numFmtId="0">
      <sharedItems/>
    </cacheField>
    <cacheField name="DESCRIÇÃO" numFmtId="0">
      <sharedItems/>
    </cacheField>
    <cacheField name="VALOR A PAGAR" numFmtId="44">
      <sharedItems containsSemiMixedTypes="0" containsString="0" containsNumber="1" minValue="20" maxValue="2000"/>
    </cacheField>
    <cacheField name="STATUS" numFmtId="0">
      <sharedItems count="3">
        <s v="PAGO"/>
        <s v="ATRASADO"/>
        <s v="PENDENTE"/>
      </sharedItems>
    </cacheField>
    <cacheField name="DATA DE PAGAMENTO EFETIVO" numFmtId="14">
      <sharedItems containsNonDate="0" containsDate="1" containsString="0" containsBlank="1" minDate="2026-05-05T00:00:00" maxDate="2026-06-05T00:00:00"/>
    </cacheField>
    <cacheField name="TIPO DE PAGAMENTO" numFmtId="0">
      <sharedItems containsBlank="1"/>
    </cacheField>
    <cacheField name="CENTRO DE CUSTO" numFmtId="0">
      <sharedItems containsBlank="1" count="7">
        <s v="PESSOAL"/>
        <s v="MORADIA"/>
        <s v="TRANSPORTE"/>
        <s v="ALIMENTAÇÃO"/>
        <s v="MARKETING"/>
        <s v="ADMINISTRATIVO"/>
        <m u="1"/>
      </sharedItems>
    </cacheField>
    <cacheField name="Dias (DATA DE VENCIMENTO )" numFmtId="0" databaseField="0">
      <fieldGroup base="0">
        <rangePr groupBy="days" startDate="2026-05-05T00:00:00" endDate="2026-07-01T00:00:00"/>
        <groupItems count="368">
          <s v="&lt;05/05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7/2026"/>
        </groupItems>
      </fieldGroup>
    </cacheField>
    <cacheField name="Meses (DATA DE VENCIMENTO )" numFmtId="0" databaseField="0">
      <fieldGroup base="0">
        <rangePr groupBy="months" startDate="2026-05-05T00:00:00" endDate="2026-07-01T00:00:00"/>
        <groupItems count="14">
          <s v="&lt;05/05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HOTMART PLATAFORMA"/>
    <s v="SAQUE VENDAS CURSO ONLINE MAIO"/>
    <n v="5430"/>
    <x v="0"/>
    <d v="2026-05-05T00:00:00"/>
    <s v="TRANSFERENCIA"/>
    <x v="0"/>
  </r>
  <r>
    <x v="1"/>
    <s v="EDUZZ TECNOLOGIA"/>
    <s v="COMISSÃO DE AFILIADO LANÇAMENTO"/>
    <n v="1200"/>
    <x v="0"/>
    <d v="2026-05-08T00:00:00"/>
    <s v="PIX"/>
    <x v="0"/>
  </r>
  <r>
    <x v="2"/>
    <s v="INTERNET WORK LTDA"/>
    <s v="MENSALIDADE GESTÃO DE TRÁFEGO PAGO"/>
    <n v="2500"/>
    <x v="0"/>
    <d v="2026-05-10T00:00:00"/>
    <s v="BOLETO"/>
    <x v="1"/>
  </r>
  <r>
    <x v="2"/>
    <s v="CLÍNICA SORRISO"/>
    <s v="CONSULTORIA DE MARKETING MENSAL"/>
    <n v="3000"/>
    <x v="0"/>
    <d v="2026-05-10T00:00:00"/>
    <s v="BOLETO"/>
    <x v="1"/>
  </r>
  <r>
    <x v="3"/>
    <s v="HOTMART PLATAFORMA"/>
    <s v="VENDA DE EBOOK ATRAÇÃO DIGITAL"/>
    <n v="850"/>
    <x v="0"/>
    <d v="2026-05-12T00:00:00"/>
    <s v="TRANSFERENCIA"/>
    <x v="0"/>
  </r>
  <r>
    <x v="4"/>
    <s v="GOOGLE ADSENSE"/>
    <s v="MONETIZAÇÃO DO CANAL DO YOUTUBE"/>
    <n v="420"/>
    <x v="0"/>
    <d v="2026-05-15T00:00:00"/>
    <s v="TRANSFERENCIA"/>
    <x v="2"/>
  </r>
  <r>
    <x v="4"/>
    <s v="MONETIZZE MIDIA"/>
    <s v="SAQUE INFOPRODUTO RECORRENTE"/>
    <n v="1850"/>
    <x v="0"/>
    <d v="2026-05-15T00:00:00"/>
    <s v="TRANSFERENCIA"/>
    <x v="0"/>
  </r>
  <r>
    <x v="5"/>
    <s v="REST. SABOR LOCAL"/>
    <s v="PROJETO SOCIAL MEDIA INSTAGRAM"/>
    <n v="1500"/>
    <x v="0"/>
    <d v="2026-05-19T00:00:00"/>
    <s v="PIX"/>
    <x v="1"/>
  </r>
  <r>
    <x v="6"/>
    <s v="LOJA MODA FASHION"/>
    <s v="CRIAÇÃO DE LANDING PAGE E SITE"/>
    <n v="2200"/>
    <x v="0"/>
    <d v="2026-05-20T00:00:00"/>
    <s v="PIX"/>
    <x v="1"/>
  </r>
  <r>
    <x v="6"/>
    <s v="HOTMART PLATAFORMA"/>
    <s v="SAQUE ANTECIPADO BLACK FRIDAY"/>
    <n v="4100"/>
    <x v="0"/>
    <d v="2026-05-20T00:00:00"/>
    <s v="TRANSFERENCIA"/>
    <x v="0"/>
  </r>
  <r>
    <x v="7"/>
    <s v="STRIFE INC GLOBAL"/>
    <s v="PRESTAÇÃO SERVIÇO DESIGN EXTERIOR"/>
    <n v="950"/>
    <x v="0"/>
    <d v="2026-05-20T00:00:00"/>
    <s v="TRANSFERENCIA"/>
    <x v="2"/>
  </r>
  <r>
    <x v="8"/>
    <s v="CLIENTE JOÃO SILVA"/>
    <s v="MENTORIA INDIVIDUAL STRATEGY"/>
    <n v="1200"/>
    <x v="0"/>
    <d v="2026-05-22T00:00:00"/>
    <s v="PIX"/>
    <x v="2"/>
  </r>
  <r>
    <x v="8"/>
    <s v="EDUZZ TECNOLOGIA"/>
    <s v="VENDA DE CURSO EXPRESSO NO PIX"/>
    <n v="680"/>
    <x v="0"/>
    <d v="2026-05-25T00:00:00"/>
    <s v="TRANSFERENCIA"/>
    <x v="0"/>
  </r>
  <r>
    <x v="9"/>
    <s v="AUTO ESCOLA LIDER"/>
    <s v="MENSALIDADE MARKETING DE CONTEÚDO"/>
    <n v="1800"/>
    <x v="0"/>
    <d v="2026-05-25T00:00:00"/>
    <s v="BOLETO"/>
    <x v="1"/>
  </r>
  <r>
    <x v="10"/>
    <s v="HOTMART PLATAFORMA"/>
    <s v="REMANESCENTE DE COMISSÕES DO MÊS"/>
    <n v="320"/>
    <x v="0"/>
    <d v="2026-06-02T00:00:00"/>
    <s v="TRANSFERENCIA"/>
    <x v="0"/>
  </r>
  <r>
    <x v="11"/>
    <s v="WORKANA PLATAFORMA"/>
    <s v="FREELANCE EDIÇÃO DE VÍDEO COMPLETA"/>
    <n v="1500"/>
    <x v="0"/>
    <d v="2026-06-04T00:00:00"/>
    <s v="TRANSFERENCIA"/>
    <x v="2"/>
  </r>
  <r>
    <x v="12"/>
    <s v="CLIENTE MARIA REIS"/>
    <s v="SESSÃO AVULSA DE DIRECIONAMENTO"/>
    <n v="450"/>
    <x v="0"/>
    <d v="2026-06-02T00:00:00"/>
    <s v="PIX"/>
    <x v="2"/>
  </r>
  <r>
    <x v="13"/>
    <s v="GOOGLE ADSENSE"/>
    <s v="MONETIZAÇÃO DE BLOG E PORTAL DE CONTEÚDO"/>
    <n v="280"/>
    <x v="0"/>
    <d v="2026-06-04T00:00:00"/>
    <s v="TRANSFERENCIA"/>
    <x v="2"/>
  </r>
  <r>
    <x v="14"/>
    <s v="ICATU RESGATE"/>
    <s v="RENDIMENTO DE PREVIDENCIA ANTECIPADO"/>
    <n v="350"/>
    <x v="0"/>
    <d v="2026-06-04T00:00:00"/>
    <s v="TRANSFERENCIA"/>
    <x v="2"/>
  </r>
  <r>
    <x v="15"/>
    <s v="KIWIFY PLATAFORMA"/>
    <s v="PRIMEIRO SAQUE MENTORIA EM GRUPO"/>
    <n v="7500"/>
    <x v="0"/>
    <d v="2026-06-04T00:00:00"/>
    <s v="TRANSFERENCIA"/>
    <x v="0"/>
  </r>
  <r>
    <x v="15"/>
    <s v="KIWIFY PLATAFORMA"/>
    <s v="RECORRÊNCIA DA COMUNIDADE DE ALUNOS"/>
    <n v="2400"/>
    <x v="0"/>
    <d v="2026-06-04T00:00:00"/>
    <s v="TRANSFERENCIA"/>
    <x v="0"/>
  </r>
  <r>
    <x v="16"/>
    <s v="CLIENTE PEDRO LIMA"/>
    <s v="CONSULTORIA DE TRÁFEGO AVULSA"/>
    <n v="600"/>
    <x v="0"/>
    <d v="2026-06-04T00:00:00"/>
    <s v="PIX"/>
    <x v="2"/>
  </r>
  <r>
    <x v="17"/>
    <s v="INTERNET WORK LTDA"/>
    <s v="MENSALIDADE GESTÃO DE TRÁFEGO JUNHO"/>
    <n v="2500"/>
    <x v="1"/>
    <m/>
    <m/>
    <x v="1"/>
  </r>
  <r>
    <x v="18"/>
    <s v="CLÍNICA SORRISO"/>
    <s v="CONSULTORIA DE MARKETING JUNHO"/>
    <n v="3000"/>
    <x v="1"/>
    <m/>
    <m/>
    <x v="1"/>
  </r>
  <r>
    <x v="19"/>
    <s v="REST. SABOR LOCAL"/>
    <s v="PROJETO SOCIAL MEDIA JUNHO"/>
    <n v="1500"/>
    <x v="1"/>
    <m/>
    <m/>
    <x v="1"/>
  </r>
  <r>
    <x v="20"/>
    <s v="HOTMART PLATAFORMA"/>
    <s v="PREVISÃO DE SAQUE FLUXO JUNHO"/>
    <n v="4800"/>
    <x v="1"/>
    <m/>
    <m/>
    <x v="0"/>
  </r>
  <r>
    <x v="21"/>
    <s v="KIWIFY PLATAFORMA"/>
    <s v="PREVISÃO DE SAQUE COMUNIDADE JUNHO"/>
    <n v="2600"/>
    <x v="1"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BANCO INTER MAGE"/>
    <s v="FATURA DO CARTÃO DE CRÉDITO PESSOAL"/>
    <n v="1234.51"/>
    <x v="0"/>
    <d v="2026-05-05T00:00:00"/>
    <s v="CRÉDITO"/>
    <x v="0"/>
  </r>
  <r>
    <x v="1"/>
    <s v="QUINTO ANDAR IMÓVEIS"/>
    <s v="ALUGUEL DO APARTAMENTO RESIDENCIAL"/>
    <n v="2000"/>
    <x v="0"/>
    <d v="2026-05-08T00:00:00"/>
    <s v="PIX"/>
    <x v="1"/>
  </r>
  <r>
    <x v="2"/>
    <s v="SABESP COMPANHIA"/>
    <s v="ÁGUA E ESGOTO DO APARTAMENTO"/>
    <n v="80"/>
    <x v="0"/>
    <d v="2026-05-10T00:00:00"/>
    <s v="BOLETO"/>
    <x v="1"/>
  </r>
  <r>
    <x v="2"/>
    <s v="CONDOMÍNIO VIVENDAS"/>
    <s v="CONDOMÍNIO DO EDIFÍCIO RESIDENCIAL"/>
    <n v="450"/>
    <x v="0"/>
    <d v="2026-05-10T00:00:00"/>
    <s v="BOLETO"/>
    <x v="1"/>
  </r>
  <r>
    <x v="3"/>
    <s v="POSTO SHELL ALIANÇA"/>
    <s v="GASOLINA PARA O CARRO DO DIA A DIA"/>
    <n v="350"/>
    <x v="0"/>
    <d v="2026-05-12T00:00:00"/>
    <s v="DÉBITO"/>
    <x v="2"/>
  </r>
  <r>
    <x v="4"/>
    <s v="SUPERMERCADO DIA"/>
    <s v="COMPRAS DO MÊS PARA A DISPENSA"/>
    <n v="149.9"/>
    <x v="0"/>
    <d v="2026-05-15T00:00:00"/>
    <s v="PIX"/>
    <x v="3"/>
  </r>
  <r>
    <x v="4"/>
    <s v="GOOGLE ADS BRASIL"/>
    <s v="ANÚNCIOS DE CAPTAÇÃO PARA MEU CURSO"/>
    <n v="185"/>
    <x v="0"/>
    <d v="2026-05-15T00:00:00"/>
    <s v="CRÉDITO"/>
    <x v="4"/>
  </r>
  <r>
    <x v="5"/>
    <s v="CLARO FIBRA"/>
    <s v="INTERNET RESIDENCIAL PARA TRABALHAR"/>
    <n v="150"/>
    <x v="0"/>
    <d v="2026-05-19T00:00:00"/>
    <s v="BOLETO"/>
    <x v="5"/>
  </r>
  <r>
    <x v="6"/>
    <s v="RESTAURANTE BOM GOSTO"/>
    <s v="ALMOÇO NA RUA"/>
    <n v="46"/>
    <x v="0"/>
    <d v="2026-05-20T00:00:00"/>
    <s v="PIX"/>
    <x v="0"/>
  </r>
  <r>
    <x v="6"/>
    <s v="ICATU SEGUROS"/>
    <s v="APORTE EM PREVIDÊNCIA PRIVADA INDIVIDUAL"/>
    <n v="365"/>
    <x v="0"/>
    <d v="2026-05-20T00:00:00"/>
    <s v="TRANSFERENCIA"/>
    <x v="0"/>
  </r>
  <r>
    <x v="7"/>
    <s v="ENEL DISTRIBUIÇÃO"/>
    <s v="CONTA DE LUZ DO APARTAMENTO"/>
    <n v="250"/>
    <x v="0"/>
    <d v="2026-05-20T00:00:00"/>
    <s v="BOLETO"/>
    <x v="1"/>
  </r>
  <r>
    <x v="8"/>
    <s v="AMIL ASSISTÊNCIA MÉDICA"/>
    <s v="PLANO DE SAÚDE INDIVIDUAL COPARTICIPATIVO"/>
    <n v="450"/>
    <x v="0"/>
    <d v="2026-05-22T00:00:00"/>
    <s v="BOLETO"/>
    <x v="0"/>
  </r>
  <r>
    <x v="8"/>
    <s v="META ADVERTISING"/>
    <s v="ANÚNCIOS DE CONVERSÃO NO INSTAGRAM"/>
    <n v="245"/>
    <x v="0"/>
    <d v="2026-05-25T00:00:00"/>
    <s v="CRÉDITO"/>
    <x v="4"/>
  </r>
  <r>
    <x v="9"/>
    <s v="AUTO CENTER BRASIL"/>
    <s v="TROCA DE ÓLEO E FILTROS DO CARRO"/>
    <n v="400"/>
    <x v="0"/>
    <d v="2026-05-25T00:00:00"/>
    <s v="DÉBITO"/>
    <x v="2"/>
  </r>
  <r>
    <x v="10"/>
    <s v="PAPELARIA IPANEMA"/>
    <s v="ACESSÓRIOS PARA ESTUDO E TRABALHO"/>
    <n v="89.32"/>
    <x v="0"/>
    <d v="2026-05-28T00:00:00"/>
    <s v="DÉBITO"/>
    <x v="5"/>
  </r>
  <r>
    <x v="11"/>
    <s v="PADARIA DO BAIRRO"/>
    <s v="CAFÉ DA MANHÃ"/>
    <n v="22.85"/>
    <x v="0"/>
    <d v="2026-05-29T00:00:00"/>
    <s v="PIX"/>
    <x v="3"/>
  </r>
  <r>
    <x v="12"/>
    <s v="ESTACIONAMENTO ESTAPAR"/>
    <s v="AVULSO PERTO DO CENTRO DE ESTUDOS"/>
    <n v="20"/>
    <x v="0"/>
    <d v="2026-05-29T00:00:00"/>
    <s v="DINHEIRO"/>
    <x v="2"/>
  </r>
  <r>
    <x v="13"/>
    <s v="CONSELHO DE ADMINISTRAÇÃO"/>
    <s v="ANUIDADE DO REGISTRO PROFISSIONAL CRA"/>
    <n v="75.400000000000006"/>
    <x v="1"/>
    <m/>
    <m/>
    <x v="5"/>
  </r>
  <r>
    <x v="14"/>
    <s v="ADOBE SYSTEMS INC"/>
    <s v="ASSINATURA DO PREMIERE PARA EDIÇÃO"/>
    <n v="110"/>
    <x v="1"/>
    <m/>
    <m/>
    <x v="5"/>
  </r>
  <r>
    <x v="15"/>
    <s v="AGENCIA DE VIAGENS"/>
    <s v="VIAGEM E LAZER"/>
    <n v="725.32"/>
    <x v="0"/>
    <d v="2026-06-04T00:00:00"/>
    <m/>
    <x v="0"/>
  </r>
  <r>
    <x v="15"/>
    <s v="BOUTIQUE DAS CARNES"/>
    <s v="CARNE PARA CHURRASCO COM AMIGOS EM CASA"/>
    <n v="632.45000000000005"/>
    <x v="0"/>
    <d v="2026-06-02T00:00:00"/>
    <s v="CRÉDITO"/>
    <x v="3"/>
  </r>
  <r>
    <x v="16"/>
    <s v="DROGASIL SAÚDE"/>
    <s v="REMÉDIO E SIMILARES"/>
    <n v="135"/>
    <x v="0"/>
    <d v="2026-06-04T00:00:00"/>
    <s v="DÉBITO"/>
    <x v="0"/>
  </r>
  <r>
    <x v="17"/>
    <s v="DETRAN TAXAS PÚBLICAS"/>
    <s v="TAXA DE EMISSÃO DO LICENCIAMENTO ANUAL"/>
    <n v="160"/>
    <x v="1"/>
    <m/>
    <m/>
    <x v="2"/>
  </r>
  <r>
    <x v="18"/>
    <s v="CONTABILIDADE ONLINE MEI"/>
    <s v="MENSALIDADE DA PLATAFORMA DE GESTÃO MEI"/>
    <n v="350"/>
    <x v="2"/>
    <m/>
    <m/>
    <x v="5"/>
  </r>
  <r>
    <x v="19"/>
    <s v="HOSTGATOR HOSPEDAGEM"/>
    <s v="DOMÍNIO E HOSPEDAGEM DA LANDING PAGE"/>
    <n v="50"/>
    <x v="2"/>
    <m/>
    <m/>
    <x v="5"/>
  </r>
  <r>
    <x v="20"/>
    <s v="REFRIGERAÇÃO SILVA"/>
    <s v="LIMPEZA DO AR CONDICIONADO DO QUARTO"/>
    <n v="180"/>
    <x v="2"/>
    <m/>
    <m/>
    <x v="1"/>
  </r>
  <r>
    <x v="21"/>
    <s v="AZOS SEGUROS"/>
    <s v="APÓLICE ANUAL DO SEGURO AUTO COMPACTO"/>
    <n v="200"/>
    <x v="2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8B8C1-652A-458B-9455-D4D857AB32AD}" name="Tabela dinâmica2" cacheId="24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 colHeaderCaption="STATUS">
  <location ref="A12:D16" firstHeaderRow="1" firstDataRow="2" firstDataCol="1"/>
  <pivotFields count="10">
    <pivotField axis="axisRow"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dataField="1" numFmtId="4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0"/>
  </rowFields>
  <rowItems count="3"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oma de VALOR A RECEBER" fld="3" baseField="0" baseItem="0" numFmtId="44"/>
  </dataFields>
  <formats count="50">
    <format dxfId="2731">
      <pivotArea type="all" dataOnly="0" outline="0" fieldPosition="0"/>
    </format>
    <format dxfId="2730">
      <pivotArea outline="0" collapsedLevelsAreSubtotals="1" fieldPosition="0"/>
    </format>
    <format dxfId="2729">
      <pivotArea type="origin" dataOnly="0" labelOnly="1" outline="0" fieldPosition="0"/>
    </format>
    <format dxfId="2728">
      <pivotArea field="4" type="button" dataOnly="0" labelOnly="1" outline="0" axis="axisCol" fieldPosition="0"/>
    </format>
    <format dxfId="2727">
      <pivotArea type="topRight" dataOnly="0" labelOnly="1" outline="0" fieldPosition="0"/>
    </format>
    <format dxfId="2726">
      <pivotArea field="9" type="button" dataOnly="0" labelOnly="1" outline="0" axis="axisRow" fieldPosition="0"/>
    </format>
    <format dxfId="2725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2724">
      <pivotArea dataOnly="0" labelOnly="1" grandRow="1" outline="0" fieldPosition="0"/>
    </format>
    <format dxfId="2723">
      <pivotArea dataOnly="0" labelOnly="1" fieldPosition="0">
        <references count="1">
          <reference field="4" count="0"/>
        </references>
      </pivotArea>
    </format>
    <format dxfId="2722">
      <pivotArea dataOnly="0" labelOnly="1" grandCol="1" outline="0" fieldPosition="0"/>
    </format>
    <format dxfId="2721">
      <pivotArea type="all" dataOnly="0" outline="0" fieldPosition="0"/>
    </format>
    <format dxfId="2720">
      <pivotArea outline="0" collapsedLevelsAreSubtotals="1" fieldPosition="0"/>
    </format>
    <format dxfId="2719">
      <pivotArea type="origin" dataOnly="0" labelOnly="1" outline="0" fieldPosition="0"/>
    </format>
    <format dxfId="2718">
      <pivotArea field="4" type="button" dataOnly="0" labelOnly="1" outline="0" axis="axisCol" fieldPosition="0"/>
    </format>
    <format dxfId="2717">
      <pivotArea type="topRight" dataOnly="0" labelOnly="1" outline="0" fieldPosition="0"/>
    </format>
    <format dxfId="2716">
      <pivotArea field="9" type="button" dataOnly="0" labelOnly="1" outline="0" axis="axisRow" fieldPosition="0"/>
    </format>
    <format dxfId="2715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2714">
      <pivotArea dataOnly="0" labelOnly="1" grandRow="1" outline="0" fieldPosition="0"/>
    </format>
    <format dxfId="2713">
      <pivotArea dataOnly="0" labelOnly="1" fieldPosition="0">
        <references count="1">
          <reference field="4" count="0"/>
        </references>
      </pivotArea>
    </format>
    <format dxfId="2712">
      <pivotArea dataOnly="0" labelOnly="1" grandCol="1" outline="0" fieldPosition="0"/>
    </format>
    <format dxfId="2711">
      <pivotArea type="all" dataOnly="0" outline="0" fieldPosition="0"/>
    </format>
    <format dxfId="2710">
      <pivotArea outline="0" collapsedLevelsAreSubtotals="1" fieldPosition="0"/>
    </format>
    <format dxfId="2709">
      <pivotArea type="origin" dataOnly="0" labelOnly="1" outline="0" fieldPosition="0"/>
    </format>
    <format dxfId="2708">
      <pivotArea field="4" type="button" dataOnly="0" labelOnly="1" outline="0" axis="axisCol" fieldPosition="0"/>
    </format>
    <format dxfId="2707">
      <pivotArea type="topRight" dataOnly="0" labelOnly="1" outline="0" fieldPosition="0"/>
    </format>
    <format dxfId="2706">
      <pivotArea field="9" type="button" dataOnly="0" labelOnly="1" outline="0" axis="axisRow" fieldPosition="0"/>
    </format>
    <format dxfId="2705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2704">
      <pivotArea dataOnly="0" labelOnly="1" grandRow="1" outline="0" fieldPosition="0"/>
    </format>
    <format dxfId="2703">
      <pivotArea dataOnly="0" labelOnly="1" fieldPosition="0">
        <references count="1">
          <reference field="4" count="0"/>
        </references>
      </pivotArea>
    </format>
    <format dxfId="2702">
      <pivotArea dataOnly="0" labelOnly="1" grandCol="1" outline="0" fieldPosition="0"/>
    </format>
    <format dxfId="2681">
      <pivotArea type="all" dataOnly="0" outline="0" fieldPosition="0"/>
    </format>
    <format dxfId="2680">
      <pivotArea outline="0" collapsedLevelsAreSubtotals="1" fieldPosition="0"/>
    </format>
    <format dxfId="2679">
      <pivotArea type="origin" dataOnly="0" labelOnly="1" outline="0" fieldPosition="0"/>
    </format>
    <format dxfId="2678">
      <pivotArea field="4" type="button" dataOnly="0" labelOnly="1" outline="0" axis="axisCol" fieldPosition="0"/>
    </format>
    <format dxfId="2677">
      <pivotArea type="topRight" dataOnly="0" labelOnly="1" outline="0" fieldPosition="0"/>
    </format>
    <format dxfId="2676">
      <pivotArea field="9" type="button" dataOnly="0" labelOnly="1" outline="0" axis="axisRow" fieldPosition="0"/>
    </format>
    <format dxfId="2675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2674">
      <pivotArea dataOnly="0" labelOnly="1" grandRow="1" outline="0" fieldPosition="0"/>
    </format>
    <format dxfId="2673">
      <pivotArea dataOnly="0" labelOnly="1" fieldPosition="0">
        <references count="1">
          <reference field="4" count="0"/>
        </references>
      </pivotArea>
    </format>
    <format dxfId="2672">
      <pivotArea dataOnly="0" labelOnly="1" grandCol="1" outline="0" fieldPosition="0"/>
    </format>
    <format dxfId="7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4" type="button" dataOnly="0" labelOnly="1" outline="0" axis="axisCol" fieldPosition="0"/>
    </format>
    <format dxfId="63">
      <pivotArea type="topRight" dataOnly="0" labelOnly="1" outline="0" fieldPosition="0"/>
    </format>
    <format dxfId="62">
      <pivotArea field="9" type="button" dataOnly="0" labelOnly="1" outline="0" axis="axisRow" fieldPosition="0"/>
    </format>
    <format dxfId="61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60">
      <pivotArea dataOnly="0" labelOnly="1" grandRow="1" outline="0" fieldPosition="0"/>
    </format>
    <format dxfId="59">
      <pivotArea dataOnly="0" labelOnly="1" fieldPosition="0">
        <references count="1">
          <reference field="4" count="0"/>
        </references>
      </pivotArea>
    </format>
    <format dxfId="58">
      <pivotArea dataOnly="0" labelOnly="1" grandCol="1" outline="0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E1AFD-465F-4984-9A93-16053FB95C42}" name="Tabela dinâmica1" cacheId="24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 colHeaderCaption="STATUS">
  <location ref="A3:E7" firstHeaderRow="1" firstDataRow="2" firstDataCol="1"/>
  <pivotFields count="10">
    <pivotField axis="axisRow"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dataField="1" numFmtId="44"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0"/>
  </rowFields>
  <rowItems count="3"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oma de VALOR A PAGAR" fld="3" baseField="0" baseItem="0" numFmtId="44"/>
  </dataFields>
  <formats count="70">
    <format dxfId="2771">
      <pivotArea type="all" dataOnly="0" outline="0" fieldPosition="0"/>
    </format>
    <format dxfId="2770">
      <pivotArea outline="0" collapsedLevelsAreSubtotals="1" fieldPosition="0"/>
    </format>
    <format dxfId="2769">
      <pivotArea type="origin" dataOnly="0" labelOnly="1" outline="0" fieldPosition="0"/>
    </format>
    <format dxfId="2768">
      <pivotArea field="4" type="button" dataOnly="0" labelOnly="1" outline="0" axis="axisCol" fieldPosition="0"/>
    </format>
    <format dxfId="2767">
      <pivotArea type="topRight" dataOnly="0" labelOnly="1" outline="0" fieldPosition="0"/>
    </format>
    <format dxfId="2766">
      <pivotArea field="9" type="button" dataOnly="0" labelOnly="1" outline="0" axis="axisRow" fieldPosition="0"/>
    </format>
    <format dxfId="2765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2764">
      <pivotArea dataOnly="0" labelOnly="1" grandRow="1" outline="0" fieldPosition="0"/>
    </format>
    <format dxfId="2763">
      <pivotArea dataOnly="0" labelOnly="1" fieldPosition="0">
        <references count="1">
          <reference field="4" count="0"/>
        </references>
      </pivotArea>
    </format>
    <format dxfId="2762">
      <pivotArea dataOnly="0" labelOnly="1" grandCol="1" outline="0" fieldPosition="0"/>
    </format>
    <format dxfId="2761">
      <pivotArea type="all" dataOnly="0" outline="0" fieldPosition="0"/>
    </format>
    <format dxfId="2760">
      <pivotArea outline="0" collapsedLevelsAreSubtotals="1" fieldPosition="0"/>
    </format>
    <format dxfId="2759">
      <pivotArea type="origin" dataOnly="0" labelOnly="1" outline="0" fieldPosition="0"/>
    </format>
    <format dxfId="2758">
      <pivotArea field="4" type="button" dataOnly="0" labelOnly="1" outline="0" axis="axisCol" fieldPosition="0"/>
    </format>
    <format dxfId="2757">
      <pivotArea type="topRight" dataOnly="0" labelOnly="1" outline="0" fieldPosition="0"/>
    </format>
    <format dxfId="2756">
      <pivotArea field="9" type="button" dataOnly="0" labelOnly="1" outline="0" axis="axisRow" fieldPosition="0"/>
    </format>
    <format dxfId="2755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2754">
      <pivotArea dataOnly="0" labelOnly="1" grandRow="1" outline="0" fieldPosition="0"/>
    </format>
    <format dxfId="2753">
      <pivotArea dataOnly="0" labelOnly="1" fieldPosition="0">
        <references count="1">
          <reference field="4" count="0"/>
        </references>
      </pivotArea>
    </format>
    <format dxfId="2752">
      <pivotArea dataOnly="0" labelOnly="1" grandCol="1" outline="0" fieldPosition="0"/>
    </format>
    <format dxfId="2751">
      <pivotArea type="all" dataOnly="0" outline="0" fieldPosition="0"/>
    </format>
    <format dxfId="2750">
      <pivotArea outline="0" collapsedLevelsAreSubtotals="1" fieldPosition="0"/>
    </format>
    <format dxfId="2749">
      <pivotArea type="origin" dataOnly="0" labelOnly="1" outline="0" fieldPosition="0"/>
    </format>
    <format dxfId="2748">
      <pivotArea field="4" type="button" dataOnly="0" labelOnly="1" outline="0" axis="axisCol" fieldPosition="0"/>
    </format>
    <format dxfId="2747">
      <pivotArea type="topRight" dataOnly="0" labelOnly="1" outline="0" fieldPosition="0"/>
    </format>
    <format dxfId="2746">
      <pivotArea field="9" type="button" dataOnly="0" labelOnly="1" outline="0" axis="axisRow" fieldPosition="0"/>
    </format>
    <format dxfId="2745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2744">
      <pivotArea dataOnly="0" labelOnly="1" grandRow="1" outline="0" fieldPosition="0"/>
    </format>
    <format dxfId="2743">
      <pivotArea dataOnly="0" labelOnly="1" fieldPosition="0">
        <references count="1">
          <reference field="4" count="0"/>
        </references>
      </pivotArea>
    </format>
    <format dxfId="2742">
      <pivotArea dataOnly="0" labelOnly="1" grandCol="1" outline="0" fieldPosition="0"/>
    </format>
    <format dxfId="2741">
      <pivotArea type="all" dataOnly="0" outline="0" fieldPosition="0"/>
    </format>
    <format dxfId="2740">
      <pivotArea outline="0" collapsedLevelsAreSubtotals="1" fieldPosition="0"/>
    </format>
    <format dxfId="2739">
      <pivotArea type="origin" dataOnly="0" labelOnly="1" outline="0" fieldPosition="0"/>
    </format>
    <format dxfId="2738">
      <pivotArea field="4" type="button" dataOnly="0" labelOnly="1" outline="0" axis="axisCol" fieldPosition="0"/>
    </format>
    <format dxfId="2737">
      <pivotArea type="topRight" dataOnly="0" labelOnly="1" outline="0" fieldPosition="0"/>
    </format>
    <format dxfId="2736">
      <pivotArea field="9" type="button" dataOnly="0" labelOnly="1" outline="0" axis="axisRow" fieldPosition="0"/>
    </format>
    <format dxfId="2735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2734">
      <pivotArea dataOnly="0" labelOnly="1" grandRow="1" outline="0" fieldPosition="0"/>
    </format>
    <format dxfId="2733">
      <pivotArea dataOnly="0" labelOnly="1" fieldPosition="0">
        <references count="1">
          <reference field="4" count="0"/>
        </references>
      </pivotArea>
    </format>
    <format dxfId="2732">
      <pivotArea dataOnly="0" labelOnly="1" grandCol="1" outline="0" fieldPosition="0"/>
    </format>
    <format dxfId="2671">
      <pivotArea type="all" dataOnly="0" outline="0" fieldPosition="0"/>
    </format>
    <format dxfId="2670">
      <pivotArea outline="0" collapsedLevelsAreSubtotals="1" fieldPosition="0"/>
    </format>
    <format dxfId="2669">
      <pivotArea type="origin" dataOnly="0" labelOnly="1" outline="0" fieldPosition="0"/>
    </format>
    <format dxfId="2668">
      <pivotArea field="4" type="button" dataOnly="0" labelOnly="1" outline="0" axis="axisCol" fieldPosition="0"/>
    </format>
    <format dxfId="2667">
      <pivotArea type="topRight" dataOnly="0" labelOnly="1" outline="0" fieldPosition="0"/>
    </format>
    <format dxfId="2666">
      <pivotArea field="9" type="button" dataOnly="0" labelOnly="1" outline="0" axis="axisRow" fieldPosition="0"/>
    </format>
    <format dxfId="2665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2664">
      <pivotArea dataOnly="0" labelOnly="1" grandRow="1" outline="0" fieldPosition="0"/>
    </format>
    <format dxfId="2663">
      <pivotArea dataOnly="0" labelOnly="1" fieldPosition="0">
        <references count="1">
          <reference field="4" count="0"/>
        </references>
      </pivotArea>
    </format>
    <format dxfId="2662">
      <pivotArea dataOnly="0" labelOnly="1" grandCol="1" outline="0" fieldPosition="0"/>
    </format>
    <format dxfId="2461">
      <pivotArea type="all" dataOnly="0" outline="0" fieldPosition="0"/>
    </format>
    <format dxfId="2450">
      <pivotArea outline="0" collapsedLevelsAreSubtotals="1" fieldPosition="0"/>
    </format>
    <format dxfId="2449">
      <pivotArea type="origin" dataOnly="0" labelOnly="1" outline="0" fieldPosition="0"/>
    </format>
    <format dxfId="2448">
      <pivotArea field="4" type="button" dataOnly="0" labelOnly="1" outline="0" axis="axisCol" fieldPosition="0"/>
    </format>
    <format dxfId="2447">
      <pivotArea type="topRight" dataOnly="0" labelOnly="1" outline="0" fieldPosition="0"/>
    </format>
    <format dxfId="2446">
      <pivotArea field="9" type="button" dataOnly="0" labelOnly="1" outline="0" axis="axisRow" fieldPosition="0"/>
    </format>
    <format dxfId="2445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2444">
      <pivotArea dataOnly="0" labelOnly="1" grandRow="1" outline="0" fieldPosition="0"/>
    </format>
    <format dxfId="2443">
      <pivotArea dataOnly="0" labelOnly="1" fieldPosition="0">
        <references count="1">
          <reference field="4" count="0"/>
        </references>
      </pivotArea>
    </format>
    <format dxfId="2442">
      <pivotArea dataOnly="0" labelOnly="1" grandCol="1" outline="0" fieldPosition="0"/>
    </format>
    <format dxfId="5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4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9" type="button" dataOnly="0" labelOnly="1" outline="0" axis="axisRow" fieldPosition="0"/>
    </format>
    <format dxfId="41">
      <pivotArea dataOnly="0" labelOnly="1" fieldPosition="0">
        <references count="1">
          <reference field="9" count="2">
            <x v="5"/>
            <x v="6"/>
          </reference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4" count="0"/>
        </references>
      </pivotArea>
    </format>
    <format dxfId="38">
      <pivotArea dataOnly="0" labelOnly="1" grandCol="1" outline="0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9EB38-4A31-4AA7-981F-408E50D8C90C}" name="Tabela dinâmica4" cacheId="24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sificação">
  <location ref="E12:F16" firstHeaderRow="1" firstDataRow="1" firstDataCol="1"/>
  <pivotFields count="10">
    <pivotField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dataField="1" numFmtId="4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ceber por classificação" fld="3" baseField="0" baseItem="0" numFmtId="44"/>
  </dataFields>
  <formats count="36">
    <format dxfId="2795">
      <pivotArea type="all" dataOnly="0" outline="0" fieldPosition="0"/>
    </format>
    <format dxfId="2794">
      <pivotArea outline="0" collapsedLevelsAreSubtotals="1" fieldPosition="0"/>
    </format>
    <format dxfId="2793">
      <pivotArea field="7" type="button" dataOnly="0" labelOnly="1" outline="0" axis="axisRow" fieldPosition="0"/>
    </format>
    <format dxfId="2792">
      <pivotArea dataOnly="0" labelOnly="1" fieldPosition="0">
        <references count="1">
          <reference field="7" count="0"/>
        </references>
      </pivotArea>
    </format>
    <format dxfId="2791">
      <pivotArea dataOnly="0" labelOnly="1" grandRow="1" outline="0" fieldPosition="0"/>
    </format>
    <format dxfId="2790">
      <pivotArea dataOnly="0" labelOnly="1" outline="0" axis="axisValues" fieldPosition="0"/>
    </format>
    <format dxfId="2789">
      <pivotArea type="all" dataOnly="0" outline="0" fieldPosition="0"/>
    </format>
    <format dxfId="2788">
      <pivotArea outline="0" collapsedLevelsAreSubtotals="1" fieldPosition="0"/>
    </format>
    <format dxfId="2787">
      <pivotArea field="7" type="button" dataOnly="0" labelOnly="1" outline="0" axis="axisRow" fieldPosition="0"/>
    </format>
    <format dxfId="2786">
      <pivotArea dataOnly="0" labelOnly="1" fieldPosition="0">
        <references count="1">
          <reference field="7" count="0"/>
        </references>
      </pivotArea>
    </format>
    <format dxfId="2785">
      <pivotArea dataOnly="0" labelOnly="1" grandRow="1" outline="0" fieldPosition="0"/>
    </format>
    <format dxfId="2784">
      <pivotArea dataOnly="0" labelOnly="1" outline="0" axis="axisValues" fieldPosition="0"/>
    </format>
    <format dxfId="2783">
      <pivotArea type="all" dataOnly="0" outline="0" fieldPosition="0"/>
    </format>
    <format dxfId="2782">
      <pivotArea outline="0" collapsedLevelsAreSubtotals="1" fieldPosition="0"/>
    </format>
    <format dxfId="2781">
      <pivotArea field="7" type="button" dataOnly="0" labelOnly="1" outline="0" axis="axisRow" fieldPosition="0"/>
    </format>
    <format dxfId="2780">
      <pivotArea dataOnly="0" labelOnly="1" fieldPosition="0">
        <references count="1">
          <reference field="7" count="0"/>
        </references>
      </pivotArea>
    </format>
    <format dxfId="2779">
      <pivotArea dataOnly="0" labelOnly="1" grandRow="1" outline="0" fieldPosition="0"/>
    </format>
    <format dxfId="2778">
      <pivotArea dataOnly="0" labelOnly="1" outline="0" axis="axisValues" fieldPosition="0"/>
    </format>
    <format dxfId="2777">
      <pivotArea type="all" dataOnly="0" outline="0" fieldPosition="0"/>
    </format>
    <format dxfId="2776">
      <pivotArea outline="0" collapsedLevelsAreSubtotals="1" fieldPosition="0"/>
    </format>
    <format dxfId="2775">
      <pivotArea field="7" type="button" dataOnly="0" labelOnly="1" outline="0" axis="axisRow" fieldPosition="0"/>
    </format>
    <format dxfId="2774">
      <pivotArea dataOnly="0" labelOnly="1" fieldPosition="0">
        <references count="1">
          <reference field="7" count="0"/>
        </references>
      </pivotArea>
    </format>
    <format dxfId="2773">
      <pivotArea dataOnly="0" labelOnly="1" grandRow="1" outline="0" fieldPosition="0"/>
    </format>
    <format dxfId="2772">
      <pivotArea dataOnly="0" labelOnly="1" outline="0" axis="axisValues" fieldPosition="0"/>
    </format>
    <format dxfId="2661">
      <pivotArea type="all" dataOnly="0" outline="0" fieldPosition="0"/>
    </format>
    <format dxfId="2660">
      <pivotArea outline="0" collapsedLevelsAreSubtotals="1" fieldPosition="0"/>
    </format>
    <format dxfId="2659">
      <pivotArea field="7" type="button" dataOnly="0" labelOnly="1" outline="0" axis="axisRow" fieldPosition="0"/>
    </format>
    <format dxfId="2658">
      <pivotArea dataOnly="0" labelOnly="1" fieldPosition="0">
        <references count="1">
          <reference field="7" count="0"/>
        </references>
      </pivotArea>
    </format>
    <format dxfId="2657">
      <pivotArea dataOnly="0" labelOnly="1" grandRow="1" outline="0" fieldPosition="0"/>
    </format>
    <format dxfId="2656">
      <pivotArea dataOnly="0" labelOnly="1" outline="0" axis="axisValues" fieldPosition="0"/>
    </format>
    <format dxfId="37">
      <pivotArea type="all" dataOnly="0" outline="0" fieldPosition="0"/>
    </format>
    <format dxfId="30">
      <pivotArea outline="0" collapsedLevelsAreSubtotals="1" fieldPosition="0"/>
    </format>
    <format dxfId="29">
      <pivotArea field="7" type="button" dataOnly="0" labelOnly="1" outline="0" axis="axisRow" fieldPosition="0"/>
    </format>
    <format dxfId="28">
      <pivotArea dataOnly="0" labelOnly="1" fieldPosition="0">
        <references count="1">
          <reference field="7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B9A06-A31C-49B6-83FC-60F5C3A6CBB4}" name="Tabela dinâmica3" cacheId="24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assificação ">
  <location ref="F3:G10" firstHeaderRow="1" firstDataRow="1" firstDataCol="1"/>
  <pivotFields count="10">
    <pivotField numFmtId="14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dataField="1" numFmtId="44" showAll="0"/>
    <pivotField showAll="0"/>
    <pivotField showAll="0"/>
    <pivotField showAll="0"/>
    <pivotField axis="axisRow" showAll="0">
      <items count="8">
        <item x="5"/>
        <item x="3"/>
        <item x="4"/>
        <item x="1"/>
        <item x="0"/>
        <item x="2"/>
        <item m="1" x="6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Gastos por classificação" fld="3" baseField="7" baseItem="0" numFmtId="44"/>
  </dataFields>
  <formats count="42">
    <format dxfId="2819">
      <pivotArea type="all" dataOnly="0" outline="0" fieldPosition="0"/>
    </format>
    <format dxfId="2818">
      <pivotArea outline="0" collapsedLevelsAreSubtotals="1" fieldPosition="0"/>
    </format>
    <format dxfId="2817">
      <pivotArea field="7" type="button" dataOnly="0" labelOnly="1" outline="0" axis="axisRow" fieldPosition="0"/>
    </format>
    <format dxfId="2816">
      <pivotArea dataOnly="0" labelOnly="1" fieldPosition="0">
        <references count="1">
          <reference field="7" count="0"/>
        </references>
      </pivotArea>
    </format>
    <format dxfId="2815">
      <pivotArea dataOnly="0" labelOnly="1" grandRow="1" outline="0" fieldPosition="0"/>
    </format>
    <format dxfId="2814">
      <pivotArea dataOnly="0" labelOnly="1" outline="0" axis="axisValues" fieldPosition="0"/>
    </format>
    <format dxfId="2813">
      <pivotArea type="all" dataOnly="0" outline="0" fieldPosition="0"/>
    </format>
    <format dxfId="2812">
      <pivotArea outline="0" collapsedLevelsAreSubtotals="1" fieldPosition="0"/>
    </format>
    <format dxfId="2811">
      <pivotArea field="7" type="button" dataOnly="0" labelOnly="1" outline="0" axis="axisRow" fieldPosition="0"/>
    </format>
    <format dxfId="2810">
      <pivotArea dataOnly="0" labelOnly="1" fieldPosition="0">
        <references count="1">
          <reference field="7" count="0"/>
        </references>
      </pivotArea>
    </format>
    <format dxfId="2809">
      <pivotArea dataOnly="0" labelOnly="1" grandRow="1" outline="0" fieldPosition="0"/>
    </format>
    <format dxfId="2808">
      <pivotArea dataOnly="0" labelOnly="1" outline="0" axis="axisValues" fieldPosition="0"/>
    </format>
    <format dxfId="2807">
      <pivotArea type="all" dataOnly="0" outline="0" fieldPosition="0"/>
    </format>
    <format dxfId="2806">
      <pivotArea outline="0" collapsedLevelsAreSubtotals="1" fieldPosition="0"/>
    </format>
    <format dxfId="2805">
      <pivotArea field="7" type="button" dataOnly="0" labelOnly="1" outline="0" axis="axisRow" fieldPosition="0"/>
    </format>
    <format dxfId="2804">
      <pivotArea dataOnly="0" labelOnly="1" fieldPosition="0">
        <references count="1">
          <reference field="7" count="0"/>
        </references>
      </pivotArea>
    </format>
    <format dxfId="2803">
      <pivotArea dataOnly="0" labelOnly="1" grandRow="1" outline="0" fieldPosition="0"/>
    </format>
    <format dxfId="2802">
      <pivotArea dataOnly="0" labelOnly="1" outline="0" axis="axisValues" fieldPosition="0"/>
    </format>
    <format dxfId="2801">
      <pivotArea type="all" dataOnly="0" outline="0" fieldPosition="0"/>
    </format>
    <format dxfId="2800">
      <pivotArea outline="0" collapsedLevelsAreSubtotals="1" fieldPosition="0"/>
    </format>
    <format dxfId="2799">
      <pivotArea field="7" type="button" dataOnly="0" labelOnly="1" outline="0" axis="axisRow" fieldPosition="0"/>
    </format>
    <format dxfId="2798">
      <pivotArea dataOnly="0" labelOnly="1" fieldPosition="0">
        <references count="1">
          <reference field="7" count="0"/>
        </references>
      </pivotArea>
    </format>
    <format dxfId="2797">
      <pivotArea dataOnly="0" labelOnly="1" grandRow="1" outline="0" fieldPosition="0"/>
    </format>
    <format dxfId="2796">
      <pivotArea dataOnly="0" labelOnly="1" outline="0" axis="axisValues" fieldPosition="0"/>
    </format>
    <format dxfId="2655">
      <pivotArea type="all" dataOnly="0" outline="0" fieldPosition="0"/>
    </format>
    <format dxfId="2654">
      <pivotArea outline="0" collapsedLevelsAreSubtotals="1" fieldPosition="0"/>
    </format>
    <format dxfId="2653">
      <pivotArea field="7" type="button" dataOnly="0" labelOnly="1" outline="0" axis="axisRow" fieldPosition="0"/>
    </format>
    <format dxfId="2652">
      <pivotArea dataOnly="0" labelOnly="1" fieldPosition="0">
        <references count="1">
          <reference field="7" count="0"/>
        </references>
      </pivotArea>
    </format>
    <format dxfId="2651">
      <pivotArea dataOnly="0" labelOnly="1" grandRow="1" outline="0" fieldPosition="0"/>
    </format>
    <format dxfId="2650">
      <pivotArea dataOnly="0" labelOnly="1" outline="0" axis="axisValues" fieldPosition="0"/>
    </format>
    <format dxfId="2441">
      <pivotArea type="all" dataOnly="0" outline="0" fieldPosition="0"/>
    </format>
    <format dxfId="2434">
      <pivotArea outline="0" collapsedLevelsAreSubtotals="1" fieldPosition="0"/>
    </format>
    <format dxfId="2433">
      <pivotArea field="7" type="button" dataOnly="0" labelOnly="1" outline="0" axis="axisRow" fieldPosition="0"/>
    </format>
    <format dxfId="2432">
      <pivotArea dataOnly="0" labelOnly="1" fieldPosition="0">
        <references count="1">
          <reference field="7" count="0"/>
        </references>
      </pivotArea>
    </format>
    <format dxfId="2431">
      <pivotArea dataOnly="0" labelOnly="1" grandRow="1" outline="0" fieldPosition="0"/>
    </format>
    <format dxfId="2430">
      <pivotArea dataOnly="0" labelOnly="1" outline="0" axis="axisValues" fieldPosition="0"/>
    </format>
    <format dxfId="24">
      <pivotArea type="all" dataOnly="0" outline="0" fieldPosition="0"/>
    </format>
    <format dxfId="17">
      <pivotArea outline="0" collapsedLevelsAreSubtotals="1" fieldPosition="0"/>
    </format>
    <format dxfId="16">
      <pivotArea field="7" type="button" dataOnly="0" labelOnly="1" outline="0" axis="axisRow" fieldPosition="0"/>
    </format>
    <format dxfId="15">
      <pivotArea dataOnly="0" labelOnly="1" fieldPosition="0">
        <references count="1">
          <reference field="7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FFF2A-C5C9-40AD-A6DE-9C23401B8146}" name="Tabela1" displayName="Tabela1" ref="A2:H29" totalsRowShown="0" headerRowDxfId="2696" dataDxfId="2695">
  <autoFilter ref="A2:H29" xr:uid="{349FFF2A-C5C9-40AD-A6DE-9C23401B8146}"/>
  <tableColumns count="8">
    <tableColumn id="1" xr3:uid="{6D14E486-EA90-4D75-9D57-02D55741E4BE}" name="DATA DE VENCIMENTO " dataDxfId="2701"/>
    <tableColumn id="2" xr3:uid="{6699FA6A-E9E2-4FAC-ACC7-AE58D65C1D03}" name="FORNECEDOR" dataDxfId="2700"/>
    <tableColumn id="3" xr3:uid="{DF36A79C-587F-4B97-B851-13387AA18B3D}" name="DESCRIÇÃO" dataDxfId="2694"/>
    <tableColumn id="4" xr3:uid="{0FE25D77-2E65-48FE-9FAE-B8C4DC914282}" name="VALOR A PAGAR" dataDxfId="2692" dataCellStyle="Moeda"/>
    <tableColumn id="5" xr3:uid="{FEDD7126-F5F7-48D4-AD85-755D449F2866}" name="STATUS" dataDxfId="2693">
      <calculatedColumnFormula>IF(F3&lt;&gt;"","PAGO",IF(A3&lt;TODAY(),"ATRASADO","PENDENTE"))</calculatedColumnFormula>
    </tableColumn>
    <tableColumn id="6" xr3:uid="{835EC2FA-854E-4142-865E-8FAB918E3436}" name="DATA DE PAGAMENTO EFETIVO" dataDxfId="2699"/>
    <tableColumn id="7" xr3:uid="{21B29107-7E17-473F-8777-EA3AF943A37C}" name="TIPO DE PAGAMENTO" dataDxfId="2698"/>
    <tableColumn id="8" xr3:uid="{9E419789-5FF3-4B27-AB5D-49F5C4F47EC3}" name="CENTRO DE CUSTO" dataDxfId="2697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B59B06-AE57-4E35-96FF-E8776FB86ADA}" name="Tabela16" displayName="Tabela16" ref="A2:H29" totalsRowShown="0" headerRowDxfId="2683" dataDxfId="2682">
  <autoFilter ref="A2:H29" xr:uid="{AFB59B06-AE57-4E35-96FF-E8776FB86ADA}"/>
  <tableColumns count="8">
    <tableColumn id="1" xr3:uid="{063C165B-09FD-4763-803C-6762E4722306}" name="DATA DE EMISSÃO" dataDxfId="2691"/>
    <tableColumn id="2" xr3:uid="{DBBD1DCE-487E-4768-8468-EA1023AFA251}" name="CLIENTE " dataDxfId="2690"/>
    <tableColumn id="3" xr3:uid="{7FEDC55A-0312-4D7C-916D-F70DA5CCC191}" name="DESCRIÇÃO" dataDxfId="2689"/>
    <tableColumn id="4" xr3:uid="{12001E1E-5775-4420-B867-5EA48024751B}" name="VALOR A RECEBER" dataDxfId="2688" dataCellStyle="Moeda"/>
    <tableColumn id="5" xr3:uid="{7125AB54-073D-4676-B89E-7F33DAB73104}" name="STATUS" dataDxfId="2687"/>
    <tableColumn id="6" xr3:uid="{B545AA05-7A76-4B81-9970-AA511F70EF68}" name="DATA DE PAGAMENTO " dataDxfId="2686"/>
    <tableColumn id="7" xr3:uid="{608A2CBB-8193-4EAD-A129-2C04FF60DE8F}" name="TIPO DE PAGAMENTO" dataDxfId="2685"/>
    <tableColumn id="8" xr3:uid="{28D609CA-0206-4B14-826E-7C56BD284A1A}" name="CENTRO DE CUSTO" dataDxfId="268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1DBAA3-C45B-46F7-8224-37D60DFF57CC}" name="Tabela7" displayName="Tabela7" ref="C19:D22" totalsRowShown="0" headerRowDxfId="87" dataDxfId="86">
  <autoFilter ref="C19:D22" xr:uid="{FA1DBAA3-C45B-46F7-8224-37D60DFF57CC}"/>
  <tableColumns count="2">
    <tableColumn id="1" xr3:uid="{26D47775-1BC6-49AA-A3D1-61A68167BBB9}" name="Mês de maio (Fechado)" dataDxfId="89"/>
    <tableColumn id="2" xr3:uid="{36749247-9A5F-48F2-9E93-B86DF6AA10BB}" name="Valores" dataDxfId="88" dataCellStyle="Moe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8CC928-0BF3-4F3A-A37B-92046F18C829}" name="Tabela8" displayName="Tabela8" ref="C23:D28" totalsRowShown="0" headerRowDxfId="83" dataDxfId="82" headerRowBorderDxfId="125" tableBorderDxfId="126" totalsRowBorderDxfId="124">
  <autoFilter ref="C23:D28" xr:uid="{868CC928-0BF3-4F3A-A37B-92046F18C829}"/>
  <tableColumns count="2">
    <tableColumn id="1" xr3:uid="{36AD5066-20D4-4D19-915C-E00CA1AB93B9}" name="Mês de junho (Aberto)" dataDxfId="85"/>
    <tableColumn id="2" xr3:uid="{2A240672-BC87-4B54-A142-E5AB48FBB837}" name="Valores" dataDxfId="84" dataCellStyle="Moe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84BF29-842B-4247-9C87-A5A188953965}" name="Tabela10" displayName="Tabela10" ref="A19:B24" totalsRowShown="0" headerRowDxfId="79" dataDxfId="78">
  <autoFilter ref="A19:B24" xr:uid="{0284BF29-842B-4247-9C87-A5A188953965}"/>
  <tableColumns count="2">
    <tableColumn id="1" xr3:uid="{BE95D3AA-B143-4701-81DA-57E33B6FB8CF}" name="Nome do Indicador" dataDxfId="81"/>
    <tableColumn id="2" xr3:uid="{C14CC37C-42E3-4E31-8F21-72582427437B}" name="Valor" dataDxfId="8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3.xml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6672-6594-4914-A92F-4166507A8FE9}">
  <dimension ref="A1:H29"/>
  <sheetViews>
    <sheetView showGridLines="0" zoomScale="70" zoomScaleNormal="70" workbookViewId="0">
      <selection activeCell="E11" sqref="E11"/>
    </sheetView>
  </sheetViews>
  <sheetFormatPr defaultRowHeight="15" x14ac:dyDescent="0.25"/>
  <cols>
    <col min="1" max="1" width="29.5703125" customWidth="1"/>
    <col min="2" max="2" width="34.140625" bestFit="1" customWidth="1"/>
    <col min="3" max="3" width="52.28515625" customWidth="1"/>
    <col min="4" max="4" width="24.85546875" bestFit="1" customWidth="1"/>
    <col min="5" max="5" width="17.7109375" style="9" bestFit="1" customWidth="1"/>
    <col min="6" max="6" width="45.28515625" bestFit="1" customWidth="1"/>
    <col min="7" max="7" width="33.5703125" bestFit="1" customWidth="1"/>
    <col min="8" max="8" width="30.7109375" bestFit="1" customWidth="1"/>
    <col min="9" max="9" width="26.7109375" bestFit="1" customWidth="1"/>
  </cols>
  <sheetData>
    <row r="1" spans="1:8" s="1" customFormat="1" ht="48" customHeight="1" x14ac:dyDescent="0.25">
      <c r="A1" s="12" t="s">
        <v>0</v>
      </c>
      <c r="E1" s="8"/>
    </row>
    <row r="2" spans="1:8" ht="16.5" x14ac:dyDescent="0.3">
      <c r="A2" s="3" t="s">
        <v>2</v>
      </c>
      <c r="B2" s="7" t="s">
        <v>3</v>
      </c>
      <c r="C2" s="7" t="s">
        <v>4</v>
      </c>
      <c r="D2" s="10" t="s">
        <v>5</v>
      </c>
      <c r="E2" s="7" t="s">
        <v>6</v>
      </c>
      <c r="F2" s="7" t="s">
        <v>10</v>
      </c>
      <c r="G2" s="7" t="s">
        <v>11</v>
      </c>
      <c r="H2" s="7" t="s">
        <v>12</v>
      </c>
    </row>
    <row r="3" spans="1:8" ht="16.5" x14ac:dyDescent="0.25">
      <c r="A3" s="4">
        <v>46147</v>
      </c>
      <c r="B3" s="5" t="s">
        <v>20</v>
      </c>
      <c r="C3" s="5" t="s">
        <v>21</v>
      </c>
      <c r="D3" s="11">
        <v>1234.51</v>
      </c>
      <c r="E3" s="5" t="str">
        <f ca="1">IF(F3&lt;&gt;"","PAGO",IF(A3&lt;TODAY(),"ATRASADO","PENDENTE"))</f>
        <v>PAGO</v>
      </c>
      <c r="F3" s="4">
        <v>46147</v>
      </c>
      <c r="G3" s="5" t="s">
        <v>17</v>
      </c>
      <c r="H3" s="5" t="s">
        <v>16</v>
      </c>
    </row>
    <row r="4" spans="1:8" ht="16.5" x14ac:dyDescent="0.25">
      <c r="A4" s="4">
        <v>46150</v>
      </c>
      <c r="B4" s="5" t="s">
        <v>22</v>
      </c>
      <c r="C4" s="5" t="s">
        <v>23</v>
      </c>
      <c r="D4" s="11">
        <v>2000</v>
      </c>
      <c r="E4" s="5" t="str">
        <f ca="1">IF(F4&lt;&gt;"","PAGO",IF(A4&lt;TODAY(),"ATRASADO","PENDENTE"))</f>
        <v>PAGO</v>
      </c>
      <c r="F4" s="4">
        <v>46150</v>
      </c>
      <c r="G4" s="5" t="s">
        <v>15</v>
      </c>
      <c r="H4" s="5" t="s">
        <v>75</v>
      </c>
    </row>
    <row r="5" spans="1:8" ht="16.5" x14ac:dyDescent="0.25">
      <c r="A5" s="4">
        <v>46152</v>
      </c>
      <c r="B5" s="5" t="s">
        <v>24</v>
      </c>
      <c r="C5" s="5" t="s">
        <v>25</v>
      </c>
      <c r="D5" s="11">
        <v>80</v>
      </c>
      <c r="E5" s="5" t="str">
        <f t="shared" ref="E5:E29" ca="1" si="0">IF(F5&lt;&gt;"","PAGO",IF(A5&lt;TODAY(),"ATRASADO","PENDENTE"))</f>
        <v>PAGO</v>
      </c>
      <c r="F5" s="4">
        <v>46152</v>
      </c>
      <c r="G5" s="5" t="s">
        <v>18</v>
      </c>
      <c r="H5" s="5" t="s">
        <v>75</v>
      </c>
    </row>
    <row r="6" spans="1:8" ht="16.5" x14ac:dyDescent="0.25">
      <c r="A6" s="4">
        <v>46152</v>
      </c>
      <c r="B6" s="5" t="s">
        <v>26</v>
      </c>
      <c r="C6" s="5" t="s">
        <v>27</v>
      </c>
      <c r="D6" s="11">
        <v>450</v>
      </c>
      <c r="E6" s="5" t="str">
        <f t="shared" ca="1" si="0"/>
        <v>PAGO</v>
      </c>
      <c r="F6" s="4">
        <v>46152</v>
      </c>
      <c r="G6" s="5" t="s">
        <v>18</v>
      </c>
      <c r="H6" s="5" t="s">
        <v>75</v>
      </c>
    </row>
    <row r="7" spans="1:8" ht="16.5" x14ac:dyDescent="0.25">
      <c r="A7" s="4">
        <v>46154</v>
      </c>
      <c r="B7" s="5" t="s">
        <v>28</v>
      </c>
      <c r="C7" s="5" t="s">
        <v>29</v>
      </c>
      <c r="D7" s="11">
        <v>350</v>
      </c>
      <c r="E7" s="5" t="str">
        <f t="shared" ca="1" si="0"/>
        <v>PAGO</v>
      </c>
      <c r="F7" s="4">
        <v>46154</v>
      </c>
      <c r="G7" s="5" t="s">
        <v>19</v>
      </c>
      <c r="H7" s="5" t="s">
        <v>76</v>
      </c>
    </row>
    <row r="8" spans="1:8" ht="16.5" x14ac:dyDescent="0.25">
      <c r="A8" s="4">
        <v>46157</v>
      </c>
      <c r="B8" s="5" t="s">
        <v>30</v>
      </c>
      <c r="C8" s="5" t="s">
        <v>31</v>
      </c>
      <c r="D8" s="11">
        <v>149.9</v>
      </c>
      <c r="E8" s="5" t="str">
        <f t="shared" ca="1" si="0"/>
        <v>PAGO</v>
      </c>
      <c r="F8" s="4">
        <v>46157</v>
      </c>
      <c r="G8" s="5" t="s">
        <v>15</v>
      </c>
      <c r="H8" s="5" t="s">
        <v>77</v>
      </c>
    </row>
    <row r="9" spans="1:8" ht="16.5" x14ac:dyDescent="0.25">
      <c r="A9" s="4">
        <v>46157</v>
      </c>
      <c r="B9" s="5" t="s">
        <v>32</v>
      </c>
      <c r="C9" s="5" t="s">
        <v>33</v>
      </c>
      <c r="D9" s="11">
        <v>185</v>
      </c>
      <c r="E9" s="5" t="str">
        <f t="shared" ca="1" si="0"/>
        <v>PAGO</v>
      </c>
      <c r="F9" s="4">
        <v>46157</v>
      </c>
      <c r="G9" s="5" t="s">
        <v>17</v>
      </c>
      <c r="H9" s="5" t="s">
        <v>78</v>
      </c>
    </row>
    <row r="10" spans="1:8" ht="16.5" x14ac:dyDescent="0.25">
      <c r="A10" s="4">
        <v>46160</v>
      </c>
      <c r="B10" s="5" t="s">
        <v>34</v>
      </c>
      <c r="C10" s="5" t="s">
        <v>35</v>
      </c>
      <c r="D10" s="11">
        <v>150</v>
      </c>
      <c r="E10" s="5" t="str">
        <f t="shared" ca="1" si="0"/>
        <v>PAGO</v>
      </c>
      <c r="F10" s="4">
        <v>46161</v>
      </c>
      <c r="G10" s="5" t="s">
        <v>18</v>
      </c>
      <c r="H10" s="5" t="s">
        <v>14</v>
      </c>
    </row>
    <row r="11" spans="1:8" ht="16.5" x14ac:dyDescent="0.25">
      <c r="A11" s="4">
        <v>46162</v>
      </c>
      <c r="B11" s="5" t="s">
        <v>70</v>
      </c>
      <c r="C11" s="5" t="s">
        <v>69</v>
      </c>
      <c r="D11" s="11">
        <v>46</v>
      </c>
      <c r="E11" s="5" t="str">
        <f t="shared" ca="1" si="0"/>
        <v>PAGO</v>
      </c>
      <c r="F11" s="4">
        <v>46162</v>
      </c>
      <c r="G11" s="5" t="s">
        <v>15</v>
      </c>
      <c r="H11" s="5" t="s">
        <v>16</v>
      </c>
    </row>
    <row r="12" spans="1:8" ht="16.5" x14ac:dyDescent="0.25">
      <c r="A12" s="4">
        <v>46162</v>
      </c>
      <c r="B12" s="5" t="s">
        <v>36</v>
      </c>
      <c r="C12" s="5" t="s">
        <v>37</v>
      </c>
      <c r="D12" s="11">
        <v>365</v>
      </c>
      <c r="E12" s="5" t="str">
        <f t="shared" ca="1" si="0"/>
        <v>PAGO</v>
      </c>
      <c r="F12" s="4">
        <v>46162</v>
      </c>
      <c r="G12" s="5" t="s">
        <v>13</v>
      </c>
      <c r="H12" s="5" t="s">
        <v>16</v>
      </c>
    </row>
    <row r="13" spans="1:8" ht="16.5" x14ac:dyDescent="0.25">
      <c r="A13" s="4">
        <v>46164</v>
      </c>
      <c r="B13" s="5" t="s">
        <v>38</v>
      </c>
      <c r="C13" s="5" t="s">
        <v>39</v>
      </c>
      <c r="D13" s="11">
        <v>250</v>
      </c>
      <c r="E13" s="5" t="str">
        <f t="shared" ca="1" si="0"/>
        <v>PAGO</v>
      </c>
      <c r="F13" s="4">
        <v>46162</v>
      </c>
      <c r="G13" s="5" t="s">
        <v>18</v>
      </c>
      <c r="H13" s="5" t="s">
        <v>75</v>
      </c>
    </row>
    <row r="14" spans="1:8" ht="16.5" x14ac:dyDescent="0.25">
      <c r="A14" s="4">
        <v>46167</v>
      </c>
      <c r="B14" s="5" t="s">
        <v>40</v>
      </c>
      <c r="C14" s="5" t="s">
        <v>41</v>
      </c>
      <c r="D14" s="11">
        <v>450</v>
      </c>
      <c r="E14" s="5" t="str">
        <f t="shared" ca="1" si="0"/>
        <v>PAGO</v>
      </c>
      <c r="F14" s="4">
        <v>46164</v>
      </c>
      <c r="G14" s="5" t="s">
        <v>18</v>
      </c>
      <c r="H14" s="5" t="s">
        <v>16</v>
      </c>
    </row>
    <row r="15" spans="1:8" ht="16.5" x14ac:dyDescent="0.25">
      <c r="A15" s="4">
        <v>46167</v>
      </c>
      <c r="B15" s="5" t="s">
        <v>42</v>
      </c>
      <c r="C15" s="5" t="s">
        <v>43</v>
      </c>
      <c r="D15" s="11">
        <v>245</v>
      </c>
      <c r="E15" s="5" t="str">
        <f t="shared" ca="1" si="0"/>
        <v>PAGO</v>
      </c>
      <c r="F15" s="4">
        <v>46167</v>
      </c>
      <c r="G15" s="5" t="s">
        <v>17</v>
      </c>
      <c r="H15" s="5" t="s">
        <v>78</v>
      </c>
    </row>
    <row r="16" spans="1:8" ht="16.5" x14ac:dyDescent="0.25">
      <c r="A16" s="4">
        <v>46168</v>
      </c>
      <c r="B16" s="5" t="s">
        <v>44</v>
      </c>
      <c r="C16" s="5" t="s">
        <v>45</v>
      </c>
      <c r="D16" s="11">
        <v>400</v>
      </c>
      <c r="E16" s="5" t="str">
        <f t="shared" ca="1" si="0"/>
        <v>PAGO</v>
      </c>
      <c r="F16" s="4">
        <v>46167</v>
      </c>
      <c r="G16" s="5" t="s">
        <v>19</v>
      </c>
      <c r="H16" s="5" t="s">
        <v>76</v>
      </c>
    </row>
    <row r="17" spans="1:8" ht="16.5" x14ac:dyDescent="0.25">
      <c r="A17" s="4">
        <v>46170</v>
      </c>
      <c r="B17" s="5" t="s">
        <v>46</v>
      </c>
      <c r="C17" s="5" t="s">
        <v>68</v>
      </c>
      <c r="D17" s="11">
        <v>89.32</v>
      </c>
      <c r="E17" s="5" t="str">
        <f t="shared" ca="1" si="0"/>
        <v>PAGO</v>
      </c>
      <c r="F17" s="4">
        <v>46170</v>
      </c>
      <c r="G17" s="5" t="s">
        <v>19</v>
      </c>
      <c r="H17" s="5" t="s">
        <v>14</v>
      </c>
    </row>
    <row r="18" spans="1:8" ht="16.5" x14ac:dyDescent="0.25">
      <c r="A18" s="4">
        <v>46171</v>
      </c>
      <c r="B18" s="5" t="s">
        <v>47</v>
      </c>
      <c r="C18" s="5" t="s">
        <v>66</v>
      </c>
      <c r="D18" s="11">
        <v>22.85</v>
      </c>
      <c r="E18" s="5" t="str">
        <f t="shared" ca="1" si="0"/>
        <v>PAGO</v>
      </c>
      <c r="F18" s="4">
        <v>46171</v>
      </c>
      <c r="G18" s="5" t="s">
        <v>15</v>
      </c>
      <c r="H18" s="5" t="s">
        <v>77</v>
      </c>
    </row>
    <row r="19" spans="1:8" ht="16.5" x14ac:dyDescent="0.25">
      <c r="A19" s="4">
        <v>46172</v>
      </c>
      <c r="B19" s="5" t="s">
        <v>48</v>
      </c>
      <c r="C19" s="5" t="s">
        <v>49</v>
      </c>
      <c r="D19" s="11">
        <v>20</v>
      </c>
      <c r="E19" s="5" t="str">
        <f t="shared" ca="1" si="0"/>
        <v>PAGO</v>
      </c>
      <c r="F19" s="4">
        <v>46171</v>
      </c>
      <c r="G19" s="5" t="s">
        <v>74</v>
      </c>
      <c r="H19" s="5" t="s">
        <v>76</v>
      </c>
    </row>
    <row r="20" spans="1:8" ht="16.5" x14ac:dyDescent="0.25">
      <c r="A20" s="4">
        <v>46173</v>
      </c>
      <c r="B20" s="5" t="s">
        <v>50</v>
      </c>
      <c r="C20" s="5" t="s">
        <v>51</v>
      </c>
      <c r="D20" s="11">
        <v>75.400000000000006</v>
      </c>
      <c r="E20" s="5" t="str">
        <f t="shared" ca="1" si="0"/>
        <v>ATRASADO</v>
      </c>
      <c r="F20" s="4"/>
      <c r="G20" s="5"/>
      <c r="H20" s="5" t="s">
        <v>14</v>
      </c>
    </row>
    <row r="21" spans="1:8" ht="16.5" x14ac:dyDescent="0.25">
      <c r="A21" s="4">
        <v>46174</v>
      </c>
      <c r="B21" s="5" t="s">
        <v>52</v>
      </c>
      <c r="C21" s="5" t="s">
        <v>53</v>
      </c>
      <c r="D21" s="11">
        <v>110</v>
      </c>
      <c r="E21" s="5" t="str">
        <f t="shared" ca="1" si="0"/>
        <v>ATRASADO</v>
      </c>
      <c r="F21" s="4"/>
      <c r="G21" s="5"/>
      <c r="H21" s="5" t="s">
        <v>14</v>
      </c>
    </row>
    <row r="22" spans="1:8" ht="16.5" x14ac:dyDescent="0.25">
      <c r="A22" s="4">
        <v>46175</v>
      </c>
      <c r="B22" s="5" t="s">
        <v>73</v>
      </c>
      <c r="C22" s="5" t="s">
        <v>71</v>
      </c>
      <c r="D22" s="11">
        <v>725.32</v>
      </c>
      <c r="E22" s="5" t="str">
        <f t="shared" ca="1" si="0"/>
        <v>PAGO</v>
      </c>
      <c r="F22" s="4">
        <v>46177</v>
      </c>
      <c r="G22" s="5"/>
      <c r="H22" s="5" t="s">
        <v>16</v>
      </c>
    </row>
    <row r="23" spans="1:8" ht="16.5" x14ac:dyDescent="0.25">
      <c r="A23" s="4">
        <v>46175</v>
      </c>
      <c r="B23" s="5" t="s">
        <v>72</v>
      </c>
      <c r="C23" s="5" t="s">
        <v>54</v>
      </c>
      <c r="D23" s="11">
        <v>632.45000000000005</v>
      </c>
      <c r="E23" s="5" t="str">
        <f t="shared" ca="1" si="0"/>
        <v>PAGO</v>
      </c>
      <c r="F23" s="4">
        <v>46175</v>
      </c>
      <c r="G23" s="5" t="s">
        <v>17</v>
      </c>
      <c r="H23" s="5" t="s">
        <v>77</v>
      </c>
    </row>
    <row r="24" spans="1:8" ht="16.5" x14ac:dyDescent="0.25">
      <c r="A24" s="4">
        <v>46177</v>
      </c>
      <c r="B24" s="5" t="s">
        <v>55</v>
      </c>
      <c r="C24" s="5" t="s">
        <v>67</v>
      </c>
      <c r="D24" s="11">
        <v>135</v>
      </c>
      <c r="E24" s="5" t="str">
        <f t="shared" ca="1" si="0"/>
        <v>PAGO</v>
      </c>
      <c r="F24" s="4">
        <v>46177</v>
      </c>
      <c r="G24" s="5" t="s">
        <v>19</v>
      </c>
      <c r="H24" s="5" t="s">
        <v>16</v>
      </c>
    </row>
    <row r="25" spans="1:8" ht="16.5" x14ac:dyDescent="0.25">
      <c r="A25" s="4">
        <v>46188</v>
      </c>
      <c r="B25" s="5" t="s">
        <v>56</v>
      </c>
      <c r="C25" s="5" t="s">
        <v>57</v>
      </c>
      <c r="D25" s="11">
        <v>160</v>
      </c>
      <c r="E25" s="5" t="str">
        <f t="shared" ca="1" si="0"/>
        <v>ATRASADO</v>
      </c>
      <c r="F25" s="4"/>
      <c r="G25" s="5"/>
      <c r="H25" s="5" t="s">
        <v>76</v>
      </c>
    </row>
    <row r="26" spans="1:8" ht="16.5" x14ac:dyDescent="0.25">
      <c r="A26" s="4">
        <v>46193</v>
      </c>
      <c r="B26" s="5" t="s">
        <v>58</v>
      </c>
      <c r="C26" s="5" t="s">
        <v>59</v>
      </c>
      <c r="D26" s="11">
        <v>350</v>
      </c>
      <c r="E26" s="5" t="str">
        <f t="shared" ca="1" si="0"/>
        <v>PENDENTE</v>
      </c>
      <c r="F26" s="4"/>
      <c r="G26" s="5"/>
      <c r="H26" s="5" t="s">
        <v>14</v>
      </c>
    </row>
    <row r="27" spans="1:8" ht="16.5" x14ac:dyDescent="0.25">
      <c r="A27" s="4">
        <v>46198</v>
      </c>
      <c r="B27" s="5" t="s">
        <v>60</v>
      </c>
      <c r="C27" s="5" t="s">
        <v>61</v>
      </c>
      <c r="D27" s="11">
        <v>50</v>
      </c>
      <c r="E27" s="5" t="str">
        <f t="shared" ca="1" si="0"/>
        <v>PENDENTE</v>
      </c>
      <c r="F27" s="4"/>
      <c r="G27" s="5"/>
      <c r="H27" s="5" t="s">
        <v>14</v>
      </c>
    </row>
    <row r="28" spans="1:8" ht="16.5" x14ac:dyDescent="0.25">
      <c r="A28" s="4">
        <v>46201</v>
      </c>
      <c r="B28" s="5" t="s">
        <v>62</v>
      </c>
      <c r="C28" s="5" t="s">
        <v>63</v>
      </c>
      <c r="D28" s="11">
        <v>180</v>
      </c>
      <c r="E28" s="5" t="str">
        <f t="shared" ca="1" si="0"/>
        <v>PENDENTE</v>
      </c>
      <c r="F28" s="4"/>
      <c r="G28" s="5"/>
      <c r="H28" s="5" t="s">
        <v>75</v>
      </c>
    </row>
    <row r="29" spans="1:8" ht="16.5" x14ac:dyDescent="0.25">
      <c r="A29" s="4">
        <v>46203</v>
      </c>
      <c r="B29" s="5" t="s">
        <v>64</v>
      </c>
      <c r="C29" s="5" t="s">
        <v>65</v>
      </c>
      <c r="D29" s="11">
        <v>200</v>
      </c>
      <c r="E29" s="5" t="str">
        <f t="shared" ca="1" si="0"/>
        <v>PENDENTE</v>
      </c>
      <c r="F29" s="4"/>
      <c r="G29" s="5"/>
      <c r="H29" s="5" t="s">
        <v>76</v>
      </c>
    </row>
  </sheetData>
  <conditionalFormatting sqref="E3:E29">
    <cfRule type="cellIs" dxfId="11" priority="7" operator="equal">
      <formula>"PAGO"</formula>
    </cfRule>
    <cfRule type="cellIs" dxfId="10" priority="8" operator="equal">
      <formula>"PENDENTE"</formula>
    </cfRule>
    <cfRule type="cellIs" dxfId="9" priority="9" operator="equal">
      <formula>"ATRASADO"</formula>
    </cfRule>
  </conditionalFormatting>
  <conditionalFormatting sqref="E6:E7">
    <cfRule type="cellIs" dxfId="8" priority="1" operator="equal">
      <formula>"PAGO"</formula>
    </cfRule>
    <cfRule type="cellIs" dxfId="7" priority="2" operator="equal">
      <formula>"PENDENTE"</formula>
    </cfRule>
    <cfRule type="cellIs" dxfId="6" priority="3" operator="equal">
      <formula>"ATRASADO"</formula>
    </cfRule>
  </conditionalFormatting>
  <dataValidations count="2">
    <dataValidation type="list" allowBlank="1" showInputMessage="1" showErrorMessage="1" sqref="G3:G29" xr:uid="{4EBB1838-01B7-465A-8560-791309BF0FF1}">
      <formula1>"BOLETO,TRANSFERENCIA,PIX,CRÉDITO,DÉBITO,DINHEIRO"</formula1>
    </dataValidation>
    <dataValidation type="list" allowBlank="1" showInputMessage="1" showErrorMessage="1" sqref="H3:H4 H6:H7" xr:uid="{73AF7016-3333-43D5-9049-BB9E167C6AB3}">
      <formula1>"MORADIA,ALIMENTAÇÃO,TRANSPORTE,PESSOAL,MARKETING,ADMINISTRATIVO"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7CC4-C792-4F9B-9592-8EBDB8163FB9}">
  <dimension ref="A1:H29"/>
  <sheetViews>
    <sheetView showGridLines="0" zoomScale="70" zoomScaleNormal="70" workbookViewId="0">
      <selection activeCell="G9" sqref="G9"/>
    </sheetView>
  </sheetViews>
  <sheetFormatPr defaultRowHeight="15" x14ac:dyDescent="0.25"/>
  <cols>
    <col min="1" max="1" width="25.42578125" customWidth="1"/>
    <col min="2" max="2" width="27.140625" bestFit="1" customWidth="1"/>
    <col min="3" max="3" width="52.140625" bestFit="1" customWidth="1"/>
    <col min="4" max="4" width="30.5703125" bestFit="1" customWidth="1"/>
    <col min="5" max="5" width="17.7109375" bestFit="1" customWidth="1"/>
    <col min="6" max="6" width="35" bestFit="1" customWidth="1"/>
    <col min="7" max="7" width="33.5703125" bestFit="1" customWidth="1"/>
    <col min="8" max="8" width="30.7109375" bestFit="1" customWidth="1"/>
    <col min="9" max="9" width="26.7109375" bestFit="1" customWidth="1"/>
  </cols>
  <sheetData>
    <row r="1" spans="1:8" s="2" customFormat="1" ht="48" customHeight="1" x14ac:dyDescent="0.25">
      <c r="A1" s="13" t="s">
        <v>156</v>
      </c>
    </row>
    <row r="2" spans="1:8" ht="16.5" x14ac:dyDescent="0.3">
      <c r="A2" s="3" t="s">
        <v>124</v>
      </c>
      <c r="B2" s="7" t="s">
        <v>122</v>
      </c>
      <c r="C2" s="7" t="s">
        <v>4</v>
      </c>
      <c r="D2" s="7" t="s">
        <v>123</v>
      </c>
      <c r="E2" s="7" t="s">
        <v>6</v>
      </c>
      <c r="F2" s="7" t="s">
        <v>125</v>
      </c>
      <c r="G2" s="7" t="s">
        <v>11</v>
      </c>
      <c r="H2" s="7" t="s">
        <v>12</v>
      </c>
    </row>
    <row r="3" spans="1:8" ht="16.5" x14ac:dyDescent="0.25">
      <c r="A3" s="4">
        <v>46147</v>
      </c>
      <c r="B3" s="5" t="s">
        <v>79</v>
      </c>
      <c r="C3" s="5" t="s">
        <v>80</v>
      </c>
      <c r="D3" s="6">
        <v>5430</v>
      </c>
      <c r="E3" s="5" t="s">
        <v>8</v>
      </c>
      <c r="F3" s="4">
        <v>46147</v>
      </c>
      <c r="G3" s="5" t="s">
        <v>13</v>
      </c>
      <c r="H3" s="5" t="s">
        <v>78</v>
      </c>
    </row>
    <row r="4" spans="1:8" ht="16.5" x14ac:dyDescent="0.25">
      <c r="A4" s="4">
        <v>46150</v>
      </c>
      <c r="B4" s="5" t="s">
        <v>81</v>
      </c>
      <c r="C4" s="5" t="s">
        <v>82</v>
      </c>
      <c r="D4" s="6">
        <v>1200</v>
      </c>
      <c r="E4" s="5" t="s">
        <v>8</v>
      </c>
      <c r="F4" s="4">
        <v>46150</v>
      </c>
      <c r="G4" s="5" t="s">
        <v>15</v>
      </c>
      <c r="H4" s="5" t="s">
        <v>78</v>
      </c>
    </row>
    <row r="5" spans="1:8" ht="16.5" x14ac:dyDescent="0.25">
      <c r="A5" s="4">
        <v>46152</v>
      </c>
      <c r="B5" s="5" t="s">
        <v>83</v>
      </c>
      <c r="C5" s="5" t="s">
        <v>84</v>
      </c>
      <c r="D5" s="6">
        <v>2500</v>
      </c>
      <c r="E5" s="5" t="s">
        <v>8</v>
      </c>
      <c r="F5" s="4">
        <v>46152</v>
      </c>
      <c r="G5" s="5" t="s">
        <v>18</v>
      </c>
      <c r="H5" s="5" t="s">
        <v>14</v>
      </c>
    </row>
    <row r="6" spans="1:8" ht="16.5" x14ac:dyDescent="0.25">
      <c r="A6" s="4">
        <v>46152</v>
      </c>
      <c r="B6" s="5" t="s">
        <v>85</v>
      </c>
      <c r="C6" s="5" t="s">
        <v>86</v>
      </c>
      <c r="D6" s="6">
        <v>3000</v>
      </c>
      <c r="E6" s="5" t="s">
        <v>8</v>
      </c>
      <c r="F6" s="4">
        <v>46152</v>
      </c>
      <c r="G6" s="5" t="s">
        <v>18</v>
      </c>
      <c r="H6" s="5" t="s">
        <v>14</v>
      </c>
    </row>
    <row r="7" spans="1:8" ht="16.5" x14ac:dyDescent="0.25">
      <c r="A7" s="4">
        <v>46154</v>
      </c>
      <c r="B7" s="5" t="s">
        <v>79</v>
      </c>
      <c r="C7" s="5" t="s">
        <v>87</v>
      </c>
      <c r="D7" s="6">
        <v>850</v>
      </c>
      <c r="E7" s="5" t="s">
        <v>8</v>
      </c>
      <c r="F7" s="4">
        <v>46154</v>
      </c>
      <c r="G7" s="5" t="s">
        <v>13</v>
      </c>
      <c r="H7" s="5" t="s">
        <v>78</v>
      </c>
    </row>
    <row r="8" spans="1:8" ht="16.5" x14ac:dyDescent="0.25">
      <c r="A8" s="4">
        <v>46157</v>
      </c>
      <c r="B8" s="5" t="s">
        <v>88</v>
      </c>
      <c r="C8" s="5" t="s">
        <v>89</v>
      </c>
      <c r="D8" s="6">
        <v>420</v>
      </c>
      <c r="E8" s="5" t="s">
        <v>8</v>
      </c>
      <c r="F8" s="4">
        <v>46157</v>
      </c>
      <c r="G8" s="5" t="s">
        <v>13</v>
      </c>
      <c r="H8" s="5" t="s">
        <v>16</v>
      </c>
    </row>
    <row r="9" spans="1:8" ht="16.5" x14ac:dyDescent="0.25">
      <c r="A9" s="4">
        <v>46157</v>
      </c>
      <c r="B9" s="5" t="s">
        <v>90</v>
      </c>
      <c r="C9" s="5" t="s">
        <v>91</v>
      </c>
      <c r="D9" s="6">
        <v>1850</v>
      </c>
      <c r="E9" s="5" t="s">
        <v>8</v>
      </c>
      <c r="F9" s="4">
        <v>46157</v>
      </c>
      <c r="G9" s="5" t="s">
        <v>13</v>
      </c>
      <c r="H9" s="5" t="s">
        <v>78</v>
      </c>
    </row>
    <row r="10" spans="1:8" ht="16.5" x14ac:dyDescent="0.25">
      <c r="A10" s="4">
        <v>46160</v>
      </c>
      <c r="B10" s="5" t="s">
        <v>92</v>
      </c>
      <c r="C10" s="5" t="s">
        <v>93</v>
      </c>
      <c r="D10" s="6">
        <v>1500</v>
      </c>
      <c r="E10" s="5" t="s">
        <v>8</v>
      </c>
      <c r="F10" s="4">
        <v>46161</v>
      </c>
      <c r="G10" s="5" t="s">
        <v>15</v>
      </c>
      <c r="H10" s="5" t="s">
        <v>14</v>
      </c>
    </row>
    <row r="11" spans="1:8" ht="16.5" x14ac:dyDescent="0.25">
      <c r="A11" s="4">
        <v>46162</v>
      </c>
      <c r="B11" s="5" t="s">
        <v>94</v>
      </c>
      <c r="C11" s="5" t="s">
        <v>95</v>
      </c>
      <c r="D11" s="6">
        <v>2200</v>
      </c>
      <c r="E11" s="5" t="s">
        <v>8</v>
      </c>
      <c r="F11" s="4">
        <v>46162</v>
      </c>
      <c r="G11" s="5" t="s">
        <v>15</v>
      </c>
      <c r="H11" s="5" t="s">
        <v>14</v>
      </c>
    </row>
    <row r="12" spans="1:8" ht="16.5" x14ac:dyDescent="0.25">
      <c r="A12" s="4">
        <v>46162</v>
      </c>
      <c r="B12" s="5" t="s">
        <v>79</v>
      </c>
      <c r="C12" s="5" t="s">
        <v>96</v>
      </c>
      <c r="D12" s="6">
        <v>4100</v>
      </c>
      <c r="E12" s="5" t="s">
        <v>8</v>
      </c>
      <c r="F12" s="4">
        <v>46162</v>
      </c>
      <c r="G12" s="5" t="s">
        <v>13</v>
      </c>
      <c r="H12" s="5" t="s">
        <v>78</v>
      </c>
    </row>
    <row r="13" spans="1:8" ht="16.5" x14ac:dyDescent="0.25">
      <c r="A13" s="4">
        <v>46164</v>
      </c>
      <c r="B13" s="5" t="s">
        <v>97</v>
      </c>
      <c r="C13" s="5" t="s">
        <v>98</v>
      </c>
      <c r="D13" s="6">
        <v>950</v>
      </c>
      <c r="E13" s="5" t="s">
        <v>8</v>
      </c>
      <c r="F13" s="4">
        <v>46162</v>
      </c>
      <c r="G13" s="5" t="s">
        <v>13</v>
      </c>
      <c r="H13" s="5" t="s">
        <v>16</v>
      </c>
    </row>
    <row r="14" spans="1:8" ht="16.5" x14ac:dyDescent="0.25">
      <c r="A14" s="4">
        <v>46167</v>
      </c>
      <c r="B14" s="5" t="s">
        <v>99</v>
      </c>
      <c r="C14" s="5" t="s">
        <v>100</v>
      </c>
      <c r="D14" s="6">
        <v>1200</v>
      </c>
      <c r="E14" s="5" t="s">
        <v>8</v>
      </c>
      <c r="F14" s="4">
        <v>46164</v>
      </c>
      <c r="G14" s="5" t="s">
        <v>15</v>
      </c>
      <c r="H14" s="5" t="s">
        <v>16</v>
      </c>
    </row>
    <row r="15" spans="1:8" ht="16.5" x14ac:dyDescent="0.25">
      <c r="A15" s="4">
        <v>46167</v>
      </c>
      <c r="B15" s="5" t="s">
        <v>81</v>
      </c>
      <c r="C15" s="5" t="s">
        <v>101</v>
      </c>
      <c r="D15" s="6">
        <v>680</v>
      </c>
      <c r="E15" s="5" t="s">
        <v>8</v>
      </c>
      <c r="F15" s="4">
        <v>46167</v>
      </c>
      <c r="G15" s="5" t="s">
        <v>13</v>
      </c>
      <c r="H15" s="5" t="s">
        <v>78</v>
      </c>
    </row>
    <row r="16" spans="1:8" ht="16.5" x14ac:dyDescent="0.25">
      <c r="A16" s="4">
        <v>46168</v>
      </c>
      <c r="B16" s="5" t="s">
        <v>102</v>
      </c>
      <c r="C16" s="5" t="s">
        <v>103</v>
      </c>
      <c r="D16" s="6">
        <v>1800</v>
      </c>
      <c r="E16" s="5" t="s">
        <v>8</v>
      </c>
      <c r="F16" s="4">
        <v>46167</v>
      </c>
      <c r="G16" s="5" t="s">
        <v>18</v>
      </c>
      <c r="H16" s="5" t="s">
        <v>14</v>
      </c>
    </row>
    <row r="17" spans="1:8" ht="16.5" x14ac:dyDescent="0.25">
      <c r="A17" s="4">
        <v>46170</v>
      </c>
      <c r="B17" s="5" t="s">
        <v>79</v>
      </c>
      <c r="C17" s="5" t="s">
        <v>104</v>
      </c>
      <c r="D17" s="6">
        <v>320</v>
      </c>
      <c r="E17" s="5" t="s">
        <v>8</v>
      </c>
      <c r="F17" s="4">
        <v>46175</v>
      </c>
      <c r="G17" s="5" t="s">
        <v>13</v>
      </c>
      <c r="H17" s="5" t="s">
        <v>78</v>
      </c>
    </row>
    <row r="18" spans="1:8" ht="16.5" x14ac:dyDescent="0.25">
      <c r="A18" s="4">
        <v>46171</v>
      </c>
      <c r="B18" s="5" t="s">
        <v>105</v>
      </c>
      <c r="C18" s="5" t="s">
        <v>106</v>
      </c>
      <c r="D18" s="6">
        <v>1500</v>
      </c>
      <c r="E18" s="5" t="s">
        <v>8</v>
      </c>
      <c r="F18" s="4">
        <v>46177</v>
      </c>
      <c r="G18" s="5" t="s">
        <v>13</v>
      </c>
      <c r="H18" s="5" t="s">
        <v>16</v>
      </c>
    </row>
    <row r="19" spans="1:8" ht="16.5" x14ac:dyDescent="0.25">
      <c r="A19" s="4">
        <v>46172</v>
      </c>
      <c r="B19" s="5" t="s">
        <v>107</v>
      </c>
      <c r="C19" s="5" t="s">
        <v>108</v>
      </c>
      <c r="D19" s="6">
        <v>450</v>
      </c>
      <c r="E19" s="5" t="s">
        <v>8</v>
      </c>
      <c r="F19" s="4">
        <v>46175</v>
      </c>
      <c r="G19" s="5" t="s">
        <v>15</v>
      </c>
      <c r="H19" s="5" t="s">
        <v>16</v>
      </c>
    </row>
    <row r="20" spans="1:8" ht="16.5" x14ac:dyDescent="0.25">
      <c r="A20" s="4">
        <v>46173</v>
      </c>
      <c r="B20" s="5" t="s">
        <v>88</v>
      </c>
      <c r="C20" s="5" t="s">
        <v>109</v>
      </c>
      <c r="D20" s="6">
        <v>280</v>
      </c>
      <c r="E20" s="5" t="s">
        <v>8</v>
      </c>
      <c r="F20" s="4">
        <v>46177</v>
      </c>
      <c r="G20" s="5" t="s">
        <v>13</v>
      </c>
      <c r="H20" s="5" t="s">
        <v>16</v>
      </c>
    </row>
    <row r="21" spans="1:8" ht="16.5" x14ac:dyDescent="0.25">
      <c r="A21" s="4">
        <v>46174</v>
      </c>
      <c r="B21" s="5" t="s">
        <v>110</v>
      </c>
      <c r="C21" s="5" t="s">
        <v>111</v>
      </c>
      <c r="D21" s="6">
        <v>350</v>
      </c>
      <c r="E21" s="5" t="s">
        <v>8</v>
      </c>
      <c r="F21" s="4">
        <v>46177</v>
      </c>
      <c r="G21" s="5" t="s">
        <v>13</v>
      </c>
      <c r="H21" s="5" t="s">
        <v>16</v>
      </c>
    </row>
    <row r="22" spans="1:8" ht="16.5" x14ac:dyDescent="0.25">
      <c r="A22" s="4">
        <v>46175</v>
      </c>
      <c r="B22" s="5" t="s">
        <v>112</v>
      </c>
      <c r="C22" s="5" t="s">
        <v>113</v>
      </c>
      <c r="D22" s="6">
        <v>7500</v>
      </c>
      <c r="E22" s="5" t="s">
        <v>8</v>
      </c>
      <c r="F22" s="4">
        <v>46177</v>
      </c>
      <c r="G22" s="5" t="s">
        <v>13</v>
      </c>
      <c r="H22" s="5" t="s">
        <v>78</v>
      </c>
    </row>
    <row r="23" spans="1:8" ht="16.5" x14ac:dyDescent="0.25">
      <c r="A23" s="4">
        <v>46175</v>
      </c>
      <c r="B23" s="5" t="s">
        <v>112</v>
      </c>
      <c r="C23" s="5" t="s">
        <v>114</v>
      </c>
      <c r="D23" s="6">
        <v>2400</v>
      </c>
      <c r="E23" s="5" t="s">
        <v>8</v>
      </c>
      <c r="F23" s="4">
        <v>46177</v>
      </c>
      <c r="G23" s="5" t="s">
        <v>13</v>
      </c>
      <c r="H23" s="5" t="s">
        <v>78</v>
      </c>
    </row>
    <row r="24" spans="1:8" ht="16.5" x14ac:dyDescent="0.25">
      <c r="A24" s="4">
        <v>46177</v>
      </c>
      <c r="B24" s="5" t="s">
        <v>115</v>
      </c>
      <c r="C24" s="5" t="s">
        <v>116</v>
      </c>
      <c r="D24" s="6">
        <v>600</v>
      </c>
      <c r="E24" s="5" t="s">
        <v>8</v>
      </c>
      <c r="F24" s="4">
        <v>46177</v>
      </c>
      <c r="G24" s="5" t="s">
        <v>15</v>
      </c>
      <c r="H24" s="5" t="s">
        <v>16</v>
      </c>
    </row>
    <row r="25" spans="1:8" ht="16.5" x14ac:dyDescent="0.25">
      <c r="A25" s="4">
        <v>46188</v>
      </c>
      <c r="B25" s="5" t="s">
        <v>83</v>
      </c>
      <c r="C25" s="5" t="s">
        <v>117</v>
      </c>
      <c r="D25" s="6">
        <v>2500</v>
      </c>
      <c r="E25" s="5" t="s">
        <v>7</v>
      </c>
      <c r="F25" s="4"/>
      <c r="G25" s="5"/>
      <c r="H25" s="5" t="s">
        <v>14</v>
      </c>
    </row>
    <row r="26" spans="1:8" ht="16.5" x14ac:dyDescent="0.25">
      <c r="A26" s="4">
        <v>46193</v>
      </c>
      <c r="B26" s="5" t="s">
        <v>85</v>
      </c>
      <c r="C26" s="5" t="s">
        <v>118</v>
      </c>
      <c r="D26" s="6">
        <v>3000</v>
      </c>
      <c r="E26" s="5" t="s">
        <v>7</v>
      </c>
      <c r="F26" s="4"/>
      <c r="G26" s="5"/>
      <c r="H26" s="5" t="s">
        <v>14</v>
      </c>
    </row>
    <row r="27" spans="1:8" ht="16.5" x14ac:dyDescent="0.25">
      <c r="A27" s="4">
        <v>46198</v>
      </c>
      <c r="B27" s="5" t="s">
        <v>92</v>
      </c>
      <c r="C27" s="5" t="s">
        <v>119</v>
      </c>
      <c r="D27" s="6">
        <v>1500</v>
      </c>
      <c r="E27" s="5" t="s">
        <v>7</v>
      </c>
      <c r="F27" s="4"/>
      <c r="G27" s="5"/>
      <c r="H27" s="5" t="s">
        <v>14</v>
      </c>
    </row>
    <row r="28" spans="1:8" ht="16.5" x14ac:dyDescent="0.25">
      <c r="A28" s="4">
        <v>46201</v>
      </c>
      <c r="B28" s="5" t="s">
        <v>79</v>
      </c>
      <c r="C28" s="5" t="s">
        <v>120</v>
      </c>
      <c r="D28" s="6">
        <v>4800</v>
      </c>
      <c r="E28" s="5" t="s">
        <v>7</v>
      </c>
      <c r="F28" s="4"/>
      <c r="G28" s="5"/>
      <c r="H28" s="5" t="s">
        <v>78</v>
      </c>
    </row>
    <row r="29" spans="1:8" ht="16.5" x14ac:dyDescent="0.25">
      <c r="A29" s="4">
        <v>46203</v>
      </c>
      <c r="B29" s="5" t="s">
        <v>112</v>
      </c>
      <c r="C29" s="5" t="s">
        <v>121</v>
      </c>
      <c r="D29" s="6">
        <v>2600</v>
      </c>
      <c r="E29" s="5" t="s">
        <v>7</v>
      </c>
      <c r="F29" s="4"/>
      <c r="G29" s="5"/>
      <c r="H29" s="5" t="s">
        <v>78</v>
      </c>
    </row>
  </sheetData>
  <conditionalFormatting sqref="E3:E29">
    <cfRule type="cellIs" dxfId="5" priority="4" operator="equal">
      <formula>"PAGO"</formula>
    </cfRule>
    <cfRule type="cellIs" dxfId="4" priority="5" operator="equal">
      <formula>"PENDENTE"</formula>
    </cfRule>
    <cfRule type="cellIs" dxfId="3" priority="6" operator="equal">
      <formula>"ATRASADO"</formula>
    </cfRule>
  </conditionalFormatting>
  <conditionalFormatting sqref="E6:E7">
    <cfRule type="cellIs" dxfId="2" priority="1" operator="equal">
      <formula>"PAGO"</formula>
    </cfRule>
    <cfRule type="cellIs" dxfId="1" priority="2" operator="equal">
      <formula>"PENDENTE"</formula>
    </cfRule>
    <cfRule type="cellIs" dxfId="0" priority="3" operator="equal">
      <formula>"ATRASADO"</formula>
    </cfRule>
  </conditionalFormatting>
  <dataValidations count="2">
    <dataValidation type="list" allowBlank="1" showInputMessage="1" showErrorMessage="1" sqref="H3:H4 H6:H7" xr:uid="{05EABA59-0B14-4AB2-A7AC-23B16B995D32}">
      <formula1>"MORADIA,ALIMENTAÇÃO,TRANSPORTE,PESSOAL,MARKETING,ADMINISTRATIVO"</formula1>
    </dataValidation>
    <dataValidation type="list" allowBlank="1" showInputMessage="1" showErrorMessage="1" sqref="G3:G29" xr:uid="{729D54E6-E610-43E0-9D67-FEEE97973523}">
      <formula1>"BOLETO,TRANSFERENCIA,PIX,CRÉDITO,DÉBITO,DINHEIRO"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E191-353C-4BD9-92CB-DC2934612082}">
  <dimension ref="A1:I40"/>
  <sheetViews>
    <sheetView showGridLines="0" tabSelected="1" zoomScale="70" zoomScaleNormal="70" workbookViewId="0">
      <selection activeCell="F7" sqref="F4:F9"/>
      <pivotSelection pane="bottomRight" showHeader="1" axis="axisRow" activeRow="6" activeCol="5" previousRow="6" previousCol="5" click="1" r:id="rId4">
        <pivotArea dataOnly="0" labelOnly="1" fieldPosition="0">
          <references count="1">
            <reference field="7" count="0"/>
          </references>
        </pivotArea>
      </pivotSelection>
    </sheetView>
  </sheetViews>
  <sheetFormatPr defaultRowHeight="16.5" x14ac:dyDescent="0.25"/>
  <cols>
    <col min="1" max="1" width="39.7109375" style="5" bestFit="1" customWidth="1"/>
    <col min="2" max="2" width="23.140625" style="5" bestFit="1" customWidth="1"/>
    <col min="3" max="3" width="44.7109375" style="5" bestFit="1" customWidth="1"/>
    <col min="4" max="4" width="20.28515625" style="5" bestFit="1" customWidth="1"/>
    <col min="5" max="5" width="21.28515625" style="5" bestFit="1" customWidth="1"/>
    <col min="6" max="6" width="29.28515625" style="5" bestFit="1" customWidth="1"/>
    <col min="7" max="7" width="27.7109375" style="5" bestFit="1" customWidth="1"/>
    <col min="8" max="8" width="29.28515625" style="5" bestFit="1" customWidth="1"/>
    <col min="9" max="9" width="15.28515625" style="6" bestFit="1" customWidth="1"/>
    <col min="10" max="11" width="13.42578125" style="5" bestFit="1" customWidth="1"/>
    <col min="12" max="16384" width="9.140625" style="5"/>
  </cols>
  <sheetData>
    <row r="1" spans="1:9" s="25" customFormat="1" ht="48" customHeight="1" x14ac:dyDescent="0.25">
      <c r="A1" s="24" t="s">
        <v>1</v>
      </c>
      <c r="I1" s="26"/>
    </row>
    <row r="3" spans="1:9" ht="17.25" x14ac:dyDescent="0.25">
      <c r="A3" s="17" t="s">
        <v>129</v>
      </c>
      <c r="B3" s="17" t="s">
        <v>6</v>
      </c>
      <c r="C3" s="18"/>
      <c r="D3" s="18"/>
      <c r="E3" s="18"/>
      <c r="F3" s="17" t="s">
        <v>147</v>
      </c>
      <c r="G3" s="18" t="s">
        <v>148</v>
      </c>
      <c r="H3" s="15"/>
      <c r="I3" s="5"/>
    </row>
    <row r="4" spans="1:9" ht="17.25" x14ac:dyDescent="0.25">
      <c r="A4" s="17" t="s">
        <v>151</v>
      </c>
      <c r="B4" s="18" t="s">
        <v>9</v>
      </c>
      <c r="C4" s="18" t="s">
        <v>8</v>
      </c>
      <c r="D4" s="18" t="s">
        <v>7</v>
      </c>
      <c r="E4" s="18" t="s">
        <v>126</v>
      </c>
      <c r="F4" s="18" t="s">
        <v>14</v>
      </c>
      <c r="G4" s="19">
        <v>824.72</v>
      </c>
      <c r="H4" s="15"/>
      <c r="I4" s="5"/>
    </row>
    <row r="5" spans="1:9" ht="17.25" x14ac:dyDescent="0.25">
      <c r="A5" s="18" t="s">
        <v>127</v>
      </c>
      <c r="B5" s="19">
        <v>75.400000000000006</v>
      </c>
      <c r="C5" s="19">
        <v>6487.58</v>
      </c>
      <c r="D5" s="19"/>
      <c r="E5" s="19">
        <v>6562.98</v>
      </c>
      <c r="F5" s="18" t="s">
        <v>77</v>
      </c>
      <c r="G5" s="19">
        <v>805.2</v>
      </c>
      <c r="H5" s="15"/>
      <c r="I5" s="5"/>
    </row>
    <row r="6" spans="1:9" ht="17.25" x14ac:dyDescent="0.25">
      <c r="A6" s="18" t="s">
        <v>128</v>
      </c>
      <c r="B6" s="19">
        <v>270</v>
      </c>
      <c r="C6" s="19">
        <v>1492.77</v>
      </c>
      <c r="D6" s="19">
        <v>780</v>
      </c>
      <c r="E6" s="19">
        <v>2542.77</v>
      </c>
      <c r="F6" s="18" t="s">
        <v>78</v>
      </c>
      <c r="G6" s="19">
        <v>430</v>
      </c>
      <c r="H6" s="15"/>
      <c r="I6" s="5"/>
    </row>
    <row r="7" spans="1:9" ht="17.25" x14ac:dyDescent="0.25">
      <c r="A7" s="18" t="s">
        <v>126</v>
      </c>
      <c r="B7" s="19">
        <v>345.4</v>
      </c>
      <c r="C7" s="19">
        <v>7980.35</v>
      </c>
      <c r="D7" s="19">
        <v>780</v>
      </c>
      <c r="E7" s="19">
        <v>9105.75</v>
      </c>
      <c r="F7" s="18" t="s">
        <v>75</v>
      </c>
      <c r="G7" s="19">
        <v>2960</v>
      </c>
      <c r="H7" s="15"/>
      <c r="I7" s="5"/>
    </row>
    <row r="8" spans="1:9" ht="17.25" x14ac:dyDescent="0.25">
      <c r="A8" s="18"/>
      <c r="B8" s="18"/>
      <c r="C8" s="18"/>
      <c r="D8" s="18"/>
      <c r="E8" s="18"/>
      <c r="F8" s="18" t="s">
        <v>16</v>
      </c>
      <c r="G8" s="19">
        <v>2955.8300000000004</v>
      </c>
      <c r="H8" s="15"/>
      <c r="I8" s="5"/>
    </row>
    <row r="9" spans="1:9" ht="17.25" x14ac:dyDescent="0.25">
      <c r="A9" s="18"/>
      <c r="B9" s="18"/>
      <c r="C9" s="18"/>
      <c r="D9" s="18"/>
      <c r="E9" s="18"/>
      <c r="F9" s="18" t="s">
        <v>76</v>
      </c>
      <c r="G9" s="19">
        <v>1130</v>
      </c>
      <c r="H9" s="15"/>
      <c r="I9" s="5"/>
    </row>
    <row r="10" spans="1:9" ht="17.25" x14ac:dyDescent="0.25">
      <c r="A10" s="18"/>
      <c r="B10" s="18"/>
      <c r="C10" s="18"/>
      <c r="D10" s="18"/>
      <c r="E10" s="18"/>
      <c r="F10" s="18" t="s">
        <v>126</v>
      </c>
      <c r="G10" s="19">
        <v>9105.75</v>
      </c>
      <c r="H10" s="15"/>
      <c r="I10" s="5"/>
    </row>
    <row r="11" spans="1:9" ht="17.25" x14ac:dyDescent="0.25">
      <c r="A11" s="15"/>
      <c r="B11" s="15"/>
      <c r="C11" s="15"/>
      <c r="D11" s="15"/>
      <c r="E11" s="15"/>
      <c r="F11" s="15"/>
      <c r="G11" s="15"/>
      <c r="H11" s="15"/>
      <c r="I11" s="5"/>
    </row>
    <row r="12" spans="1:9" ht="17.25" x14ac:dyDescent="0.25">
      <c r="A12" s="14" t="s">
        <v>130</v>
      </c>
      <c r="B12" s="14" t="s">
        <v>6</v>
      </c>
      <c r="C12" s="15"/>
      <c r="D12" s="15"/>
      <c r="E12" s="17" t="s">
        <v>149</v>
      </c>
      <c r="F12" s="18" t="s">
        <v>150</v>
      </c>
      <c r="G12" s="15"/>
      <c r="H12" s="15"/>
      <c r="I12" s="5"/>
    </row>
    <row r="13" spans="1:9" ht="17.25" x14ac:dyDescent="0.25">
      <c r="A13" s="14" t="s">
        <v>151</v>
      </c>
      <c r="B13" s="15" t="s">
        <v>8</v>
      </c>
      <c r="C13" s="15" t="s">
        <v>7</v>
      </c>
      <c r="D13" s="15" t="s">
        <v>126</v>
      </c>
      <c r="E13" s="18" t="s">
        <v>14</v>
      </c>
      <c r="F13" s="19">
        <v>18000</v>
      </c>
      <c r="G13" s="15"/>
      <c r="H13" s="15"/>
      <c r="I13" s="5"/>
    </row>
    <row r="14" spans="1:9" ht="17.25" x14ac:dyDescent="0.25">
      <c r="A14" s="15" t="s">
        <v>127</v>
      </c>
      <c r="B14" s="16">
        <v>30230</v>
      </c>
      <c r="C14" s="16"/>
      <c r="D14" s="16">
        <v>30230</v>
      </c>
      <c r="E14" s="18" t="s">
        <v>78</v>
      </c>
      <c r="F14" s="19">
        <v>31730</v>
      </c>
      <c r="G14" s="15"/>
      <c r="H14" s="15"/>
      <c r="I14" s="5"/>
    </row>
    <row r="15" spans="1:9" ht="17.25" x14ac:dyDescent="0.25">
      <c r="A15" s="15" t="s">
        <v>128</v>
      </c>
      <c r="B15" s="16">
        <v>10850</v>
      </c>
      <c r="C15" s="16">
        <v>14400</v>
      </c>
      <c r="D15" s="16">
        <v>25250</v>
      </c>
      <c r="E15" s="18" t="s">
        <v>16</v>
      </c>
      <c r="F15" s="19">
        <v>5750</v>
      </c>
      <c r="G15" s="15"/>
      <c r="H15" s="15"/>
      <c r="I15" s="5"/>
    </row>
    <row r="16" spans="1:9" ht="17.25" x14ac:dyDescent="0.25">
      <c r="A16" s="15" t="s">
        <v>126</v>
      </c>
      <c r="B16" s="16">
        <v>41080</v>
      </c>
      <c r="C16" s="16">
        <v>14400</v>
      </c>
      <c r="D16" s="16">
        <v>55480</v>
      </c>
      <c r="E16" s="18" t="s">
        <v>126</v>
      </c>
      <c r="F16" s="19">
        <v>55480</v>
      </c>
      <c r="G16" s="15"/>
      <c r="H16" s="15"/>
      <c r="I16" s="5"/>
    </row>
    <row r="17" spans="1:9" ht="17.25" x14ac:dyDescent="0.25">
      <c r="A17" s="15"/>
      <c r="B17" s="15"/>
      <c r="C17" s="15"/>
      <c r="D17" s="15"/>
      <c r="E17" s="15"/>
      <c r="F17" s="15"/>
      <c r="G17" s="15"/>
      <c r="H17" s="15"/>
      <c r="I17" s="5"/>
    </row>
    <row r="18" spans="1:9" ht="17.25" x14ac:dyDescent="0.25">
      <c r="A18" s="27" t="s">
        <v>138</v>
      </c>
      <c r="B18" s="27"/>
      <c r="C18" s="27" t="s">
        <v>134</v>
      </c>
      <c r="D18" s="27"/>
      <c r="E18" s="15"/>
      <c r="F18" s="15"/>
      <c r="G18" s="15"/>
      <c r="H18" s="15"/>
      <c r="I18" s="5"/>
    </row>
    <row r="19" spans="1:9" ht="17.25" x14ac:dyDescent="0.25">
      <c r="A19" s="18" t="s">
        <v>139</v>
      </c>
      <c r="B19" s="21" t="s">
        <v>140</v>
      </c>
      <c r="C19" s="18" t="s">
        <v>145</v>
      </c>
      <c r="D19" s="20" t="s">
        <v>133</v>
      </c>
      <c r="E19" s="15"/>
      <c r="F19" s="15"/>
      <c r="G19" s="15"/>
      <c r="H19" s="15"/>
      <c r="I19" s="5"/>
    </row>
    <row r="20" spans="1:9" ht="17.25" x14ac:dyDescent="0.25">
      <c r="A20" s="18" t="s">
        <v>141</v>
      </c>
      <c r="B20" s="21">
        <f>MAX(Tabela16[VALOR A RECEBER])</f>
        <v>7500</v>
      </c>
      <c r="C20" s="18" t="s">
        <v>131</v>
      </c>
      <c r="D20" s="20">
        <f>GETPIVOTDATA("VALOR A RECEBER",$A$12,"Meses (DATA DE EMISSÃO)",5)</f>
        <v>30230</v>
      </c>
      <c r="E20" s="15"/>
      <c r="F20" s="15"/>
      <c r="G20" s="15"/>
      <c r="H20" s="15"/>
      <c r="I20" s="5"/>
    </row>
    <row r="21" spans="1:9" ht="17.25" x14ac:dyDescent="0.25">
      <c r="A21" s="18" t="s">
        <v>142</v>
      </c>
      <c r="B21" s="21">
        <f>AVERAGE(Tabela16[VALOR A RECEBER])</f>
        <v>2054.8148148148148</v>
      </c>
      <c r="C21" s="18" t="s">
        <v>132</v>
      </c>
      <c r="D21" s="20">
        <f>GETPIVOTDATA("VALOR A PAGAR",$A$3,"STATUS","PAGO","Meses (DATA DE VENCIMENTO )",5)</f>
        <v>6487.58</v>
      </c>
      <c r="E21" s="15"/>
      <c r="F21" s="15"/>
      <c r="G21" s="15"/>
      <c r="H21" s="15"/>
    </row>
    <row r="22" spans="1:9" ht="17.25" x14ac:dyDescent="0.25">
      <c r="A22" s="18" t="s">
        <v>143</v>
      </c>
      <c r="B22" s="21">
        <f>AVERAGE(Tabela1[VALOR A PAGAR])</f>
        <v>337.25</v>
      </c>
      <c r="C22" s="18" t="s">
        <v>137</v>
      </c>
      <c r="D22" s="20">
        <f>D20-D21</f>
        <v>23742.42</v>
      </c>
      <c r="E22" s="15"/>
      <c r="F22" s="15"/>
      <c r="G22" s="15"/>
      <c r="H22" s="15"/>
    </row>
    <row r="23" spans="1:9" ht="17.25" x14ac:dyDescent="0.25">
      <c r="A23" s="18" t="s">
        <v>144</v>
      </c>
      <c r="B23" s="22">
        <f>GETPIVOTDATA("VALOR A RECEBER",$E$12,"CENTRO DE CUSTO","MARKETING")/GETPIVOTDATA("VALOR A PAGAR",$F$3,"CENTRO DE CUSTO","MARKETING")</f>
        <v>73.79069767441861</v>
      </c>
      <c r="C23" s="18" t="s">
        <v>146</v>
      </c>
      <c r="D23" s="21" t="s">
        <v>133</v>
      </c>
      <c r="E23" s="15"/>
      <c r="F23" s="15"/>
      <c r="G23" s="15"/>
      <c r="H23" s="15"/>
      <c r="I23" s="5"/>
    </row>
    <row r="24" spans="1:9" ht="17.25" x14ac:dyDescent="0.25">
      <c r="A24" s="18" t="s">
        <v>152</v>
      </c>
      <c r="B24" s="23" t="s">
        <v>153</v>
      </c>
      <c r="C24" s="18" t="s">
        <v>154</v>
      </c>
      <c r="D24" s="21">
        <f>GETPIVOTDATA("VALOR A RECEBER",$A$12,"STATUS","PAGO","Meses (DATA DE EMISSÃO)",6)</f>
        <v>10850</v>
      </c>
      <c r="E24" s="15"/>
      <c r="F24" s="15"/>
      <c r="G24" s="15"/>
      <c r="H24" s="15"/>
      <c r="I24" s="5"/>
    </row>
    <row r="25" spans="1:9" ht="17.25" x14ac:dyDescent="0.25">
      <c r="A25" s="15"/>
      <c r="B25" s="15"/>
      <c r="C25" s="18" t="s">
        <v>155</v>
      </c>
      <c r="D25" s="21">
        <f>GETPIVOTDATA("VALOR A PAGAR",$A$3,"STATUS","PAGO","Meses (DATA DE VENCIMENTO )",6)</f>
        <v>1492.77</v>
      </c>
      <c r="E25" s="15"/>
      <c r="F25" s="15"/>
      <c r="G25" s="15"/>
      <c r="H25" s="15"/>
    </row>
    <row r="26" spans="1:9" ht="17.25" x14ac:dyDescent="0.25">
      <c r="A26" s="15"/>
      <c r="B26" s="15"/>
      <c r="C26" s="18" t="s">
        <v>137</v>
      </c>
      <c r="D26" s="21">
        <f>D24-D25</f>
        <v>9357.23</v>
      </c>
      <c r="E26" s="15"/>
      <c r="F26" s="15"/>
      <c r="G26" s="15"/>
      <c r="H26" s="15"/>
    </row>
    <row r="27" spans="1:9" ht="17.25" x14ac:dyDescent="0.25">
      <c r="A27" s="15"/>
      <c r="B27" s="15"/>
      <c r="C27" s="18" t="s">
        <v>135</v>
      </c>
      <c r="D27" s="21">
        <f>GETPIVOTDATA("VALOR A RECEBER",$A$12,"STATUS","PENDENTE","Meses (DATA DE EMISSÃO)",6)</f>
        <v>14400</v>
      </c>
      <c r="E27" s="15"/>
      <c r="F27" s="15"/>
      <c r="G27" s="15"/>
      <c r="H27" s="15"/>
    </row>
    <row r="28" spans="1:9" ht="17.25" x14ac:dyDescent="0.25">
      <c r="A28" s="15"/>
      <c r="B28" s="15"/>
      <c r="C28" s="18" t="s">
        <v>136</v>
      </c>
      <c r="D28" s="21">
        <f>D26+D27</f>
        <v>23757.23</v>
      </c>
      <c r="E28" s="15"/>
      <c r="F28" s="15"/>
      <c r="G28" s="15"/>
      <c r="H28" s="15"/>
    </row>
    <row r="40" spans="9:9" x14ac:dyDescent="0.25">
      <c r="I40" s="5"/>
    </row>
  </sheetData>
  <mergeCells count="2">
    <mergeCell ref="C18:D18"/>
    <mergeCell ref="A18:B18"/>
  </mergeCells>
  <pageMargins left="0.511811024" right="0.511811024" top="0.78740157499999996" bottom="0.78740157499999996" header="0.31496062000000002" footer="0.31496062000000002"/>
  <drawing r:id="rId5"/>
  <legacyDrawing r:id="rId6"/>
  <tableParts count="3"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CONTAS A PAGAR</vt:lpstr>
      <vt:lpstr>VALORES A RECEBER</vt:lpstr>
      <vt:lpstr>ANÁLISES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IZIDORO VIEIRA DOS PASSOS LONTRATO</dc:creator>
  <cp:lastModifiedBy>VINICIUS IZIDORO VIEIRA DOS PASSOS LONTRATO</cp:lastModifiedBy>
  <dcterms:created xsi:type="dcterms:W3CDTF">2026-06-02T17:19:10Z</dcterms:created>
  <dcterms:modified xsi:type="dcterms:W3CDTF">2026-06-17T19:34:21Z</dcterms:modified>
</cp:coreProperties>
</file>